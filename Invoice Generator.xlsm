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aiprashannaa2806/Files/learning/excel/"/>
    </mc:Choice>
  </mc:AlternateContent>
  <xr:revisionPtr revIDLastSave="0" documentId="13_ncr:1_{4C78FC7C-D370-B240-A2D6-A4EA76B0F916}" xr6:coauthVersionLast="47" xr6:coauthVersionMax="47" xr10:uidLastSave="{00000000-0000-0000-0000-000000000000}"/>
  <bookViews>
    <workbookView xWindow="0" yWindow="740" windowWidth="29400" windowHeight="16640" activeTab="1" xr2:uid="{EF7F884A-1C9E-4FC5-85A5-A42A3E3DDB24}"/>
  </bookViews>
  <sheets>
    <sheet name="Orders" sheetId="1" r:id="rId1"/>
    <sheet name="Invoice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6" l="1"/>
  <c r="L33" i="6"/>
  <c r="L42" i="6" s="1"/>
  <c r="L43" i="6" s="1"/>
  <c r="L47" i="6" s="1"/>
  <c r="L48" i="6" l="1"/>
  <c r="L49" i="6" s="1"/>
  <c r="L53" i="6" l="1"/>
  <c r="A45" i="6" l="1"/>
  <c r="A49" i="6"/>
</calcChain>
</file>

<file path=xl/sharedStrings.xml><?xml version="1.0" encoding="utf-8"?>
<sst xmlns="http://schemas.openxmlformats.org/spreadsheetml/2006/main" count="230" uniqueCount="130">
  <si>
    <t>Order Date</t>
  </si>
  <si>
    <t>Discount</t>
  </si>
  <si>
    <t>Invoice No.</t>
  </si>
  <si>
    <t>:</t>
  </si>
  <si>
    <t>S I GLOBAL PVT LTD</t>
  </si>
  <si>
    <t>No.93/1, Opp. Chikkabegur Gate, 7th Mile, Singasandra Post, Hosur Road,</t>
  </si>
  <si>
    <t>Bengaluru Karnataka-560068</t>
  </si>
  <si>
    <t>GSTIN: 29AAMCS4252K1ZT.   PAN No: AAMCS4252K</t>
  </si>
  <si>
    <t>CIN No: U31409KA2008PTC047931</t>
  </si>
  <si>
    <t>E-Mail : hariprasad.k@siglobal.in</t>
  </si>
  <si>
    <t>Phone: 080-40971187</t>
  </si>
  <si>
    <t xml:space="preserve">                                                                        TAX INVOICE</t>
  </si>
  <si>
    <t xml:space="preserve">Original  </t>
  </si>
  <si>
    <t>Invoice No</t>
  </si>
  <si>
    <t>Transport Mode</t>
  </si>
  <si>
    <t>Road</t>
  </si>
  <si>
    <t>Invoice Date</t>
  </si>
  <si>
    <t>Vehicle number</t>
  </si>
  <si>
    <t>NA</t>
  </si>
  <si>
    <t>Ewaybill No</t>
  </si>
  <si>
    <t>Lorry Receipts / No</t>
  </si>
  <si>
    <t>DC No.</t>
  </si>
  <si>
    <t>Place of Despatch</t>
  </si>
  <si>
    <t>Bangalore</t>
  </si>
  <si>
    <t>Reverse Charge (Y/N)</t>
  </si>
  <si>
    <t>No</t>
  </si>
  <si>
    <t>Contact Person</t>
  </si>
  <si>
    <t>State</t>
  </si>
  <si>
    <t>KARNATAKA</t>
  </si>
  <si>
    <t>Purchase Order No</t>
  </si>
  <si>
    <t>518-10/BE/80080</t>
  </si>
  <si>
    <t>Code</t>
  </si>
  <si>
    <t>Purchase Order Date</t>
  </si>
  <si>
    <t xml:space="preserve">Billed to </t>
  </si>
  <si>
    <t>Details of Consignee(Shipped to)</t>
  </si>
  <si>
    <t xml:space="preserve">NAME     </t>
  </si>
  <si>
    <t xml:space="preserve">B FOURESS PVT LTD </t>
  </si>
  <si>
    <t>ADDRESS</t>
  </si>
  <si>
    <t xml:space="preserve">CONSIGNEE ADDRESS  </t>
  </si>
  <si>
    <t>Project No</t>
  </si>
  <si>
    <t xml:space="preserve">518-1 DRODI- 1 HYDROELECTRIC P </t>
  </si>
  <si>
    <t>Contact Number</t>
  </si>
  <si>
    <t>080-27971641</t>
  </si>
  <si>
    <t>Mr, Praveen N</t>
  </si>
  <si>
    <t>GSTIN</t>
  </si>
  <si>
    <t>29AAACB6220A1ZB</t>
  </si>
  <si>
    <t>Emial ID</t>
  </si>
  <si>
    <t>Praveen@bflhydro.com</t>
  </si>
  <si>
    <t xml:space="preserve">IEC CODE </t>
  </si>
  <si>
    <t>N/A</t>
  </si>
  <si>
    <t>Karnataka</t>
  </si>
  <si>
    <t>PAN No:</t>
  </si>
  <si>
    <t>AAACB6220A</t>
  </si>
  <si>
    <t>Payment Terms</t>
  </si>
  <si>
    <t>Immediate</t>
  </si>
  <si>
    <t>SL NO</t>
  </si>
  <si>
    <t>Product Description</t>
  </si>
  <si>
    <t>HSN Code</t>
  </si>
  <si>
    <t>UOM</t>
  </si>
  <si>
    <t>Units</t>
  </si>
  <si>
    <t>Unit Rate</t>
  </si>
  <si>
    <t>Total Rate</t>
  </si>
  <si>
    <t>Taxable</t>
  </si>
  <si>
    <t>in Rs.</t>
  </si>
  <si>
    <t>Value in Rs.</t>
  </si>
  <si>
    <t>SPARES -TURBINE</t>
  </si>
  <si>
    <t>NO</t>
  </si>
  <si>
    <t>Total Taxable Value</t>
  </si>
  <si>
    <t xml:space="preserve">                        Tax amount in words</t>
  </si>
  <si>
    <t>Total Amount before Tax</t>
  </si>
  <si>
    <t>Add: Courier Charges</t>
  </si>
  <si>
    <t>Add: Insurance</t>
  </si>
  <si>
    <t>Add: packing and Forwarding</t>
  </si>
  <si>
    <t>Total Value of the Goods Chargeable to Tax</t>
  </si>
  <si>
    <t>Total Invoice Value (in words)</t>
  </si>
  <si>
    <t>Add: CGST Collected  @</t>
  </si>
  <si>
    <t>Add: SGST Collected  @</t>
  </si>
  <si>
    <t>Add: IGST Collected   @</t>
  </si>
  <si>
    <t>Total Tax Amount</t>
  </si>
  <si>
    <t>BANK ACCOUNT DETAILS:</t>
  </si>
  <si>
    <t>Round Off</t>
  </si>
  <si>
    <t>NAME OF THE BANK</t>
  </si>
  <si>
    <t>State Bank of India</t>
  </si>
  <si>
    <t>Total Amount after Tax</t>
  </si>
  <si>
    <t>ACCOUNT NUMBER</t>
  </si>
  <si>
    <t>GST on Reverse Charge</t>
  </si>
  <si>
    <t xml:space="preserve"> - N A -</t>
  </si>
  <si>
    <t>BRANCH NAME</t>
  </si>
  <si>
    <t>SSI Singasandra</t>
  </si>
  <si>
    <t>IFSC CODE</t>
  </si>
  <si>
    <t>SBIN0040552</t>
  </si>
  <si>
    <t>Ceritified that the particulars given above are true and correct</t>
  </si>
  <si>
    <t>Terms and Conditions</t>
  </si>
  <si>
    <t>1.Goods  once  sold will not be taken back or exchanged.</t>
  </si>
  <si>
    <t xml:space="preserve">2.Interest  will be payable at 24% P.A </t>
  </si>
  <si>
    <t xml:space="preserve">  if the invoice is notpaid within days</t>
  </si>
  <si>
    <t>This is a Digitally signed Tax Invoice</t>
  </si>
  <si>
    <t>Billing Details</t>
  </si>
  <si>
    <t>Original</t>
  </si>
  <si>
    <t>Tax Invoice</t>
  </si>
  <si>
    <t>Name</t>
  </si>
  <si>
    <t>Registered  Office  &amp; Works 
Polt No 7 KIADB  Industrial Area 
Hoskote 562114 Bangalore 
INDIA</t>
  </si>
  <si>
    <t>Address</t>
  </si>
  <si>
    <t>State-</t>
  </si>
  <si>
    <t>Code-</t>
  </si>
  <si>
    <t>Shipping Details</t>
  </si>
  <si>
    <t>CONSIGNEE NAME</t>
  </si>
  <si>
    <t>CONSIGNEE ADDRESS</t>
  </si>
  <si>
    <t>Order Details</t>
  </si>
  <si>
    <t>Sl No.</t>
  </si>
  <si>
    <t>Prodcut Description</t>
  </si>
  <si>
    <t>Unit Rates in Rs.</t>
  </si>
  <si>
    <t>Total Rates in Rs.</t>
  </si>
  <si>
    <t xml:space="preserve">Bank Name </t>
  </si>
  <si>
    <t>ACCT No.</t>
  </si>
  <si>
    <t>Branch Name</t>
  </si>
  <si>
    <t>IFSC Code</t>
  </si>
  <si>
    <t>Bank Details</t>
  </si>
  <si>
    <t>GST Details</t>
  </si>
  <si>
    <t>CGST</t>
  </si>
  <si>
    <t>SGST</t>
  </si>
  <si>
    <t>IGST</t>
  </si>
  <si>
    <t>Contact Person-</t>
  </si>
  <si>
    <t/>
  </si>
  <si>
    <t>518-10/BE/80081</t>
  </si>
  <si>
    <t>080-27971642</t>
  </si>
  <si>
    <t>SBIN0040553</t>
  </si>
  <si>
    <t>TN</t>
  </si>
  <si>
    <t>Lorry  No</t>
  </si>
  <si>
    <t>27-05-2010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</si>
</sst>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* #,##0.00_-;\-* #,##0.00_-;_-* &quot;-&quot;??_-;_-@_-"/>
    <numFmt numFmtId="165" formatCode="&quot;&quot;0"/>
    <numFmt numFmtId="166" formatCode="_ * #,##0.00_ ;_ * \-#,##0.00_ ;_ * &quot;-&quot;??_ ;_ @_ "/>
    <numFmt numFmtId="167" formatCode="#,##0.00_ ;\-#,##0.00\ 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0"/>
      <color theme="1"/>
      <name val="Verdana"/>
      <family val="2"/>
    </font>
    <font>
      <sz val="18"/>
      <color theme="1"/>
      <name val="Verdana"/>
      <family val="2"/>
    </font>
    <font>
      <b/>
      <sz val="22"/>
      <color theme="1"/>
      <name val="Bookman Old Style"/>
      <family val="1"/>
    </font>
    <font>
      <b/>
      <sz val="24"/>
      <color theme="1"/>
      <name val="Aptos Narrow"/>
      <family val="2"/>
      <scheme val="minor"/>
    </font>
    <font>
      <sz val="16"/>
      <color theme="1"/>
      <name val="Verdana"/>
      <family val="2"/>
    </font>
    <font>
      <b/>
      <sz val="16"/>
      <color theme="1"/>
      <name val="Verdana"/>
      <family val="2"/>
    </font>
    <font>
      <b/>
      <sz val="18"/>
      <color theme="1"/>
      <name val="Verdana"/>
      <family val="2"/>
    </font>
    <font>
      <sz val="16"/>
      <name val="Verdana"/>
      <family val="2"/>
    </font>
    <font>
      <sz val="18"/>
      <name val="Verdana"/>
      <family val="2"/>
    </font>
    <font>
      <b/>
      <u/>
      <sz val="16"/>
      <color theme="1"/>
      <name val="Verdana"/>
      <family val="2"/>
    </font>
    <font>
      <i/>
      <sz val="16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Verdana"/>
      <family val="2"/>
    </font>
    <font>
      <b/>
      <sz val="10"/>
      <color theme="1"/>
      <name val="Verdana"/>
      <family val="2"/>
    </font>
    <font>
      <b/>
      <sz val="18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2">
    <xf numFmtId="0" fontId="0" fillId="0" borderId="0" xfId="0"/>
    <xf numFmtId="49" fontId="10" fillId="0" borderId="4" xfId="0" applyNumberFormat="1" applyFont="1" applyBorder="1" applyAlignment="1">
      <alignment vertical="center"/>
    </xf>
    <xf numFmtId="49" fontId="10" fillId="0" borderId="0" xfId="0" applyNumberFormat="1" applyFont="1" applyAlignment="1">
      <alignment vertical="center"/>
    </xf>
    <xf numFmtId="49" fontId="10" fillId="0" borderId="9" xfId="0" applyNumberFormat="1" applyFont="1" applyBorder="1" applyAlignment="1">
      <alignment vertical="center"/>
    </xf>
    <xf numFmtId="49" fontId="11" fillId="0" borderId="0" xfId="0" applyNumberFormat="1" applyFont="1" applyAlignment="1">
      <alignment vertical="center"/>
    </xf>
    <xf numFmtId="49" fontId="10" fillId="0" borderId="14" xfId="0" applyNumberFormat="1" applyFont="1" applyBorder="1" applyAlignment="1">
      <alignment vertical="center"/>
    </xf>
    <xf numFmtId="49" fontId="7" fillId="0" borderId="0" xfId="0" applyNumberFormat="1" applyFont="1" applyAlignment="1">
      <alignment vertical="center"/>
    </xf>
    <xf numFmtId="49" fontId="10" fillId="0" borderId="0" xfId="0" applyNumberFormat="1" applyFont="1" applyAlignment="1">
      <alignment horizontal="left" vertical="center"/>
    </xf>
    <xf numFmtId="0" fontId="10" fillId="0" borderId="4" xfId="0" applyFont="1" applyBorder="1" applyAlignment="1">
      <alignment vertical="center"/>
    </xf>
    <xf numFmtId="49" fontId="11" fillId="2" borderId="23" xfId="0" applyNumberFormat="1" applyFont="1" applyFill="1" applyBorder="1" applyAlignment="1">
      <alignment vertical="center"/>
    </xf>
    <xf numFmtId="49" fontId="11" fillId="2" borderId="21" xfId="0" applyNumberFormat="1" applyFont="1" applyFill="1" applyBorder="1" applyAlignment="1">
      <alignment vertical="center"/>
    </xf>
    <xf numFmtId="0" fontId="10" fillId="2" borderId="21" xfId="0" applyFont="1" applyFill="1" applyBorder="1"/>
    <xf numFmtId="49" fontId="7" fillId="0" borderId="4" xfId="0" applyNumberFormat="1" applyFont="1" applyBorder="1" applyAlignment="1">
      <alignment vertical="center"/>
    </xf>
    <xf numFmtId="49" fontId="7" fillId="0" borderId="9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10" fillId="0" borderId="0" xfId="0" applyFont="1"/>
    <xf numFmtId="0" fontId="10" fillId="0" borderId="4" xfId="0" applyFont="1" applyBorder="1"/>
    <xf numFmtId="49" fontId="10" fillId="0" borderId="5" xfId="0" applyNumberFormat="1" applyFont="1" applyBorder="1" applyAlignment="1">
      <alignment vertical="center"/>
    </xf>
    <xf numFmtId="0" fontId="10" fillId="0" borderId="5" xfId="0" applyFont="1" applyBorder="1"/>
    <xf numFmtId="0" fontId="15" fillId="0" borderId="4" xfId="0" applyFont="1" applyBorder="1"/>
    <xf numFmtId="0" fontId="7" fillId="0" borderId="4" xfId="0" applyFont="1" applyBorder="1"/>
    <xf numFmtId="0" fontId="7" fillId="0" borderId="0" xfId="0" applyFont="1" applyAlignment="1">
      <alignment horizontal="left" vertical="center"/>
    </xf>
    <xf numFmtId="49" fontId="10" fillId="0" borderId="5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49" fontId="11" fillId="2" borderId="27" xfId="0" applyNumberFormat="1" applyFont="1" applyFill="1" applyBorder="1" applyAlignment="1">
      <alignment horizontal="center" vertical="center"/>
    </xf>
    <xf numFmtId="49" fontId="10" fillId="2" borderId="29" xfId="0" applyNumberFormat="1" applyFont="1" applyFill="1" applyBorder="1" applyAlignment="1">
      <alignment vertical="center"/>
    </xf>
    <xf numFmtId="49" fontId="10" fillId="2" borderId="30" xfId="0" applyNumberFormat="1" applyFont="1" applyFill="1" applyBorder="1" applyAlignment="1">
      <alignment vertical="center"/>
    </xf>
    <xf numFmtId="0" fontId="10" fillId="2" borderId="30" xfId="0" applyFont="1" applyFill="1" applyBorder="1" applyAlignment="1">
      <alignment vertical="center"/>
    </xf>
    <xf numFmtId="0" fontId="10" fillId="2" borderId="31" xfId="0" applyFont="1" applyFill="1" applyBorder="1" applyAlignment="1">
      <alignment vertical="center"/>
    </xf>
    <xf numFmtId="0" fontId="10" fillId="2" borderId="32" xfId="0" applyFont="1" applyFill="1" applyBorder="1" applyAlignment="1">
      <alignment vertical="center"/>
    </xf>
    <xf numFmtId="0" fontId="11" fillId="2" borderId="32" xfId="0" applyFont="1" applyFill="1" applyBorder="1" applyAlignment="1">
      <alignment horizontal="center" vertical="center"/>
    </xf>
    <xf numFmtId="165" fontId="10" fillId="2" borderId="34" xfId="0" applyNumberFormat="1" applyFont="1" applyFill="1" applyBorder="1" applyAlignment="1">
      <alignment vertical="center"/>
    </xf>
    <xf numFmtId="49" fontId="10" fillId="2" borderId="35" xfId="0" applyNumberFormat="1" applyFont="1" applyFill="1" applyBorder="1" applyAlignment="1">
      <alignment vertical="center" wrapText="1"/>
    </xf>
    <xf numFmtId="166" fontId="11" fillId="2" borderId="35" xfId="0" applyNumberFormat="1" applyFont="1" applyFill="1" applyBorder="1" applyAlignment="1">
      <alignment horizontal="center" vertical="center" wrapText="1"/>
    </xf>
    <xf numFmtId="166" fontId="11" fillId="2" borderId="22" xfId="0" applyNumberFormat="1" applyFont="1" applyFill="1" applyBorder="1" applyAlignment="1">
      <alignment horizontal="center" vertical="center" wrapText="1"/>
    </xf>
    <xf numFmtId="166" fontId="11" fillId="2" borderId="24" xfId="0" applyNumberFormat="1" applyFont="1" applyFill="1" applyBorder="1" applyAlignment="1">
      <alignment vertical="center" wrapText="1"/>
    </xf>
    <xf numFmtId="165" fontId="11" fillId="2" borderId="20" xfId="0" applyNumberFormat="1" applyFont="1" applyFill="1" applyBorder="1" applyAlignment="1">
      <alignment horizontal="left" vertical="center"/>
    </xf>
    <xf numFmtId="49" fontId="11" fillId="0" borderId="12" xfId="0" applyNumberFormat="1" applyFont="1" applyBorder="1" applyAlignment="1">
      <alignment horizontal="left" vertical="center"/>
    </xf>
    <xf numFmtId="49" fontId="11" fillId="0" borderId="11" xfId="0" applyNumberFormat="1" applyFont="1" applyBorder="1" applyAlignment="1">
      <alignment horizontal="left" vertical="center"/>
    </xf>
    <xf numFmtId="49" fontId="10" fillId="0" borderId="11" xfId="0" applyNumberFormat="1" applyFont="1" applyBorder="1" applyAlignment="1">
      <alignment horizontal="left" vertical="center" wrapText="1"/>
    </xf>
    <xf numFmtId="166" fontId="11" fillId="0" borderId="36" xfId="0" applyNumberFormat="1" applyFont="1" applyBorder="1" applyAlignment="1">
      <alignment vertical="center" wrapText="1"/>
    </xf>
    <xf numFmtId="10" fontId="10" fillId="0" borderId="0" xfId="0" applyNumberFormat="1" applyFont="1" applyAlignment="1">
      <alignment horizontal="center" vertical="center" wrapText="1"/>
    </xf>
    <xf numFmtId="164" fontId="10" fillId="0" borderId="38" xfId="1" applyFont="1" applyBorder="1" applyAlignment="1">
      <alignment vertical="center" wrapText="1"/>
    </xf>
    <xf numFmtId="0" fontId="10" fillId="0" borderId="26" xfId="0" applyFont="1" applyBorder="1"/>
    <xf numFmtId="164" fontId="10" fillId="0" borderId="39" xfId="1" applyFont="1" applyBorder="1" applyAlignment="1">
      <alignment vertical="center" wrapText="1"/>
    </xf>
    <xf numFmtId="165" fontId="11" fillId="0" borderId="28" xfId="0" applyNumberFormat="1" applyFont="1" applyBorder="1" applyAlignment="1">
      <alignment horizontal="left" vertical="center"/>
    </xf>
    <xf numFmtId="165" fontId="10" fillId="0" borderId="30" xfId="0" applyNumberFormat="1" applyFont="1" applyBorder="1" applyAlignment="1">
      <alignment horizontal="left" vertical="center"/>
    </xf>
    <xf numFmtId="165" fontId="11" fillId="0" borderId="30" xfId="0" applyNumberFormat="1" applyFont="1" applyBorder="1" applyAlignment="1">
      <alignment horizontal="left" vertical="center"/>
    </xf>
    <xf numFmtId="167" fontId="11" fillId="0" borderId="30" xfId="1" applyNumberFormat="1" applyFont="1" applyBorder="1" applyAlignment="1">
      <alignment horizontal="center"/>
    </xf>
    <xf numFmtId="0" fontId="10" fillId="0" borderId="31" xfId="0" applyFont="1" applyBorder="1"/>
    <xf numFmtId="49" fontId="11" fillId="0" borderId="0" xfId="0" applyNumberFormat="1" applyFont="1" applyAlignment="1">
      <alignment horizontal="left" vertical="center"/>
    </xf>
    <xf numFmtId="164" fontId="11" fillId="0" borderId="38" xfId="1" applyFont="1" applyBorder="1" applyAlignment="1">
      <alignment vertical="center" wrapText="1"/>
    </xf>
    <xf numFmtId="0" fontId="10" fillId="2" borderId="21" xfId="0" applyFont="1" applyFill="1" applyBorder="1" applyAlignment="1">
      <alignment horizontal="center" vertical="center"/>
    </xf>
    <xf numFmtId="165" fontId="10" fillId="2" borderId="21" xfId="0" applyNumberFormat="1" applyFont="1" applyFill="1" applyBorder="1" applyAlignment="1">
      <alignment horizontal="left" vertical="center"/>
    </xf>
    <xf numFmtId="0" fontId="10" fillId="2" borderId="21" xfId="0" applyFont="1" applyFill="1" applyBorder="1" applyAlignment="1">
      <alignment horizontal="left" vertical="center" wrapText="1"/>
    </xf>
    <xf numFmtId="49" fontId="10" fillId="2" borderId="21" xfId="0" applyNumberFormat="1" applyFont="1" applyFill="1" applyBorder="1" applyAlignment="1">
      <alignment horizontal="left" vertical="center" wrapText="1"/>
    </xf>
    <xf numFmtId="0" fontId="10" fillId="2" borderId="22" xfId="0" applyFont="1" applyFill="1" applyBorder="1"/>
    <xf numFmtId="9" fontId="10" fillId="0" borderId="0" xfId="0" applyNumberFormat="1" applyFont="1" applyAlignment="1">
      <alignment horizontal="center" vertical="center" wrapText="1"/>
    </xf>
    <xf numFmtId="49" fontId="10" fillId="0" borderId="0" xfId="0" applyNumberFormat="1" applyFont="1" applyAlignment="1">
      <alignment horizontal="left" vertical="center" wrapText="1"/>
    </xf>
    <xf numFmtId="166" fontId="11" fillId="0" borderId="38" xfId="0" applyNumberFormat="1" applyFont="1" applyBorder="1" applyAlignment="1">
      <alignment vertical="center" wrapText="1"/>
    </xf>
    <xf numFmtId="49" fontId="11" fillId="2" borderId="20" xfId="0" applyNumberFormat="1" applyFont="1" applyFill="1" applyBorder="1" applyAlignment="1">
      <alignment vertical="center"/>
    </xf>
    <xf numFmtId="0" fontId="16" fillId="2" borderId="21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0" fontId="11" fillId="0" borderId="38" xfId="0" applyFont="1" applyBorder="1" applyAlignment="1">
      <alignment vertical="center" wrapText="1"/>
    </xf>
    <xf numFmtId="0" fontId="11" fillId="2" borderId="21" xfId="0" applyFont="1" applyFill="1" applyBorder="1" applyAlignment="1">
      <alignment horizontal="left" vertical="center"/>
    </xf>
    <xf numFmtId="166" fontId="11" fillId="2" borderId="40" xfId="0" applyNumberFormat="1" applyFont="1" applyFill="1" applyBorder="1" applyAlignment="1">
      <alignment vertical="center"/>
    </xf>
    <xf numFmtId="0" fontId="11" fillId="2" borderId="21" xfId="0" applyFont="1" applyFill="1" applyBorder="1" applyAlignment="1">
      <alignment horizontal="center" vertical="center"/>
    </xf>
    <xf numFmtId="164" fontId="10" fillId="2" borderId="40" xfId="1" applyFont="1" applyFill="1" applyBorder="1" applyAlignment="1">
      <alignment vertical="center" wrapText="1"/>
    </xf>
    <xf numFmtId="49" fontId="10" fillId="0" borderId="30" xfId="0" applyNumberFormat="1" applyFont="1" applyBorder="1" applyAlignment="1">
      <alignment vertical="center"/>
    </xf>
    <xf numFmtId="49" fontId="10" fillId="0" borderId="39" xfId="0" applyNumberFormat="1" applyFont="1" applyBorder="1" applyAlignment="1">
      <alignment vertical="center"/>
    </xf>
    <xf numFmtId="49" fontId="11" fillId="0" borderId="0" xfId="0" applyNumberFormat="1" applyFont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49" fontId="10" fillId="0" borderId="28" xfId="0" applyNumberFormat="1" applyFont="1" applyBorder="1" applyAlignment="1">
      <alignment vertical="center"/>
    </xf>
    <xf numFmtId="43" fontId="10" fillId="0" borderId="30" xfId="0" applyNumberFormat="1" applyFont="1" applyBorder="1"/>
    <xf numFmtId="49" fontId="16" fillId="0" borderId="5" xfId="0" applyNumberFormat="1" applyFont="1" applyBorder="1" applyAlignment="1">
      <alignment vertical="center"/>
    </xf>
    <xf numFmtId="49" fontId="11" fillId="0" borderId="10" xfId="0" applyNumberFormat="1" applyFont="1" applyBorder="1" applyAlignment="1">
      <alignment vertical="center"/>
    </xf>
    <xf numFmtId="49" fontId="11" fillId="0" borderId="11" xfId="0" applyNumberFormat="1" applyFont="1" applyBorder="1" applyAlignment="1">
      <alignment vertical="center"/>
    </xf>
    <xf numFmtId="49" fontId="11" fillId="0" borderId="14" xfId="0" applyNumberFormat="1" applyFont="1" applyBorder="1" applyAlignment="1">
      <alignment horizontal="center" vertical="center"/>
    </xf>
    <xf numFmtId="49" fontId="10" fillId="0" borderId="29" xfId="0" applyNumberFormat="1" applyFont="1" applyBorder="1" applyAlignment="1">
      <alignment vertical="center"/>
    </xf>
    <xf numFmtId="49" fontId="11" fillId="0" borderId="30" xfId="0" applyNumberFormat="1" applyFont="1" applyBorder="1" applyAlignment="1">
      <alignment vertical="center"/>
    </xf>
    <xf numFmtId="49" fontId="16" fillId="0" borderId="33" xfId="0" applyNumberFormat="1" applyFont="1" applyBorder="1" applyAlignment="1">
      <alignment vertical="center"/>
    </xf>
    <xf numFmtId="0" fontId="18" fillId="0" borderId="0" xfId="0" applyFont="1"/>
    <xf numFmtId="0" fontId="17" fillId="0" borderId="0" xfId="0" applyFont="1"/>
    <xf numFmtId="49" fontId="17" fillId="0" borderId="0" xfId="0" applyNumberFormat="1" applyFont="1"/>
    <xf numFmtId="0" fontId="19" fillId="0" borderId="0" xfId="0" applyFont="1"/>
    <xf numFmtId="2" fontId="17" fillId="0" borderId="0" xfId="0" applyNumberFormat="1" applyFont="1"/>
    <xf numFmtId="164" fontId="17" fillId="0" borderId="0" xfId="1" applyFont="1"/>
    <xf numFmtId="0" fontId="19" fillId="0" borderId="0" xfId="0" applyFont="1" applyAlignment="1">
      <alignment horizontal="center"/>
    </xf>
    <xf numFmtId="164" fontId="19" fillId="0" borderId="0" xfId="1" applyFont="1" applyAlignment="1">
      <alignment horizontal="center"/>
    </xf>
    <xf numFmtId="166" fontId="17" fillId="0" borderId="0" xfId="0" applyNumberFormat="1" applyFont="1"/>
    <xf numFmtId="166" fontId="18" fillId="0" borderId="0" xfId="0" applyNumberFormat="1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164" fontId="11" fillId="0" borderId="9" xfId="1" applyFont="1" applyBorder="1" applyAlignment="1">
      <alignment horizontal="center" vertical="top"/>
    </xf>
    <xf numFmtId="164" fontId="11" fillId="0" borderId="41" xfId="1" applyFont="1" applyBorder="1" applyAlignment="1">
      <alignment horizontal="center" vertical="top"/>
    </xf>
    <xf numFmtId="164" fontId="10" fillId="0" borderId="11" xfId="1" applyFont="1" applyBorder="1" applyAlignment="1">
      <alignment horizontal="center" vertical="top"/>
    </xf>
    <xf numFmtId="164" fontId="10" fillId="0" borderId="0" xfId="1" applyFont="1" applyBorder="1" applyAlignment="1">
      <alignment horizontal="center" vertical="top"/>
    </xf>
    <xf numFmtId="164" fontId="10" fillId="0" borderId="30" xfId="1" applyFont="1" applyBorder="1" applyAlignment="1">
      <alignment horizontal="center" vertical="top"/>
    </xf>
    <xf numFmtId="164" fontId="11" fillId="0" borderId="4" xfId="1" applyFont="1" applyBorder="1" applyAlignment="1">
      <alignment horizontal="center" vertical="top"/>
    </xf>
    <xf numFmtId="164" fontId="11" fillId="0" borderId="28" xfId="1" applyFont="1" applyBorder="1" applyAlignment="1">
      <alignment horizontal="center" vertical="top"/>
    </xf>
    <xf numFmtId="164" fontId="11" fillId="0" borderId="0" xfId="1" applyFont="1" applyBorder="1" applyAlignment="1">
      <alignment horizontal="center" vertical="top"/>
    </xf>
    <xf numFmtId="0" fontId="11" fillId="0" borderId="10" xfId="0" applyFont="1" applyBorder="1" applyAlignment="1">
      <alignment horizontal="left" vertical="top"/>
    </xf>
    <xf numFmtId="0" fontId="11" fillId="0" borderId="11" xfId="0" applyFont="1" applyBorder="1" applyAlignment="1">
      <alignment horizontal="left" vertical="top"/>
    </xf>
    <xf numFmtId="0" fontId="11" fillId="0" borderId="37" xfId="0" applyFont="1" applyBorder="1" applyAlignment="1">
      <alignment horizontal="left" vertical="top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/>
    <xf numFmtId="0" fontId="0" fillId="0" borderId="5" xfId="0" applyBorder="1"/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4" xfId="0" applyBorder="1"/>
    <xf numFmtId="49" fontId="10" fillId="2" borderId="22" xfId="0" applyNumberFormat="1" applyFont="1" applyFill="1" applyBorder="1" applyAlignment="1">
      <alignment vertical="center"/>
    </xf>
    <xf numFmtId="0" fontId="10" fillId="0" borderId="5" xfId="0" applyFont="1" applyBorder="1" applyAlignment="1">
      <alignment vertical="center"/>
    </xf>
    <xf numFmtId="49" fontId="11" fillId="2" borderId="42" xfId="0" applyNumberFormat="1" applyFont="1" applyFill="1" applyBorder="1" applyAlignment="1">
      <alignment horizontal="center" vertical="center"/>
    </xf>
    <xf numFmtId="49" fontId="11" fillId="2" borderId="32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49" fontId="10" fillId="2" borderId="32" xfId="0" applyNumberFormat="1" applyFont="1" applyFill="1" applyBorder="1" applyAlignment="1">
      <alignment vertical="center"/>
    </xf>
    <xf numFmtId="0" fontId="0" fillId="0" borderId="0" xfId="0" applyAlignment="1">
      <alignment horizontal="left" vertical="top"/>
    </xf>
    <xf numFmtId="0" fontId="11" fillId="0" borderId="4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center" vertical="top"/>
    </xf>
    <xf numFmtId="0" fontId="11" fillId="0" borderId="5" xfId="0" applyFont="1" applyBorder="1" applyAlignment="1">
      <alignment horizontal="left" vertical="top" wrapText="1"/>
    </xf>
    <xf numFmtId="0" fontId="11" fillId="0" borderId="9" xfId="0" applyFont="1" applyBorder="1" applyAlignment="1">
      <alignment horizontal="center" vertical="top" wrapText="1"/>
    </xf>
    <xf numFmtId="0" fontId="11" fillId="0" borderId="9" xfId="1" applyNumberFormat="1" applyFont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0" fontId="11" fillId="0" borderId="28" xfId="0" applyFont="1" applyBorder="1" applyAlignment="1">
      <alignment horizontal="left" vertical="top" wrapText="1"/>
    </xf>
    <xf numFmtId="0" fontId="11" fillId="0" borderId="30" xfId="0" applyFont="1" applyBorder="1" applyAlignment="1">
      <alignment horizontal="left" vertical="top" wrapText="1"/>
    </xf>
    <xf numFmtId="0" fontId="11" fillId="0" borderId="33" xfId="0" applyFont="1" applyBorder="1" applyAlignment="1">
      <alignment horizontal="left" vertical="top" wrapText="1"/>
    </xf>
    <xf numFmtId="0" fontId="11" fillId="0" borderId="41" xfId="0" applyFont="1" applyBorder="1" applyAlignment="1">
      <alignment horizontal="center" vertical="top" wrapText="1"/>
    </xf>
    <xf numFmtId="0" fontId="11" fillId="0" borderId="41" xfId="1" applyNumberFormat="1" applyFont="1" applyBorder="1" applyAlignment="1">
      <alignment horizontal="center" vertical="top"/>
    </xf>
    <xf numFmtId="14" fontId="0" fillId="0" borderId="5" xfId="0" applyNumberFormat="1" applyBorder="1" applyAlignment="1">
      <alignment vertical="center" wrapText="1"/>
    </xf>
    <xf numFmtId="14" fontId="0" fillId="0" borderId="5" xfId="0" applyNumberFormat="1" applyBorder="1"/>
    <xf numFmtId="49" fontId="0" fillId="0" borderId="0" xfId="0" applyNumberFormat="1" applyAlignment="1">
      <alignment vertical="center" wrapText="1"/>
    </xf>
    <xf numFmtId="49" fontId="0" fillId="0" borderId="0" xfId="0" applyNumberFormat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1" fillId="0" borderId="25" xfId="0" applyFont="1" applyBorder="1" applyAlignment="1">
      <alignment horizontal="center" vertical="top"/>
    </xf>
    <xf numFmtId="0" fontId="11" fillId="0" borderId="13" xfId="0" applyFont="1" applyBorder="1" applyAlignment="1">
      <alignment horizontal="left" vertical="top"/>
    </xf>
    <xf numFmtId="0" fontId="11" fillId="0" borderId="25" xfId="1" applyNumberFormat="1" applyFont="1" applyBorder="1" applyAlignment="1">
      <alignment horizontal="center" vertical="top"/>
    </xf>
    <xf numFmtId="164" fontId="11" fillId="0" borderId="25" xfId="1" applyFont="1" applyBorder="1" applyAlignment="1">
      <alignment horizontal="center" vertical="top"/>
    </xf>
    <xf numFmtId="164" fontId="11" fillId="0" borderId="10" xfId="1" applyFont="1" applyBorder="1" applyAlignment="1">
      <alignment horizontal="center" vertical="top"/>
    </xf>
    <xf numFmtId="0" fontId="1" fillId="0" borderId="15" xfId="0" applyFont="1" applyBorder="1" applyAlignment="1">
      <alignment horizontal="center" vertical="center" wrapText="1"/>
    </xf>
    <xf numFmtId="14" fontId="1" fillId="0" borderId="15" xfId="0" applyNumberFormat="1" applyFont="1" applyBorder="1" applyAlignment="1">
      <alignment horizontal="center" vertical="center" wrapText="1"/>
    </xf>
    <xf numFmtId="49" fontId="1" fillId="0" borderId="15" xfId="0" applyNumberFormat="1" applyFont="1" applyBorder="1" applyAlignment="1">
      <alignment horizontal="center" vertical="center" wrapText="1"/>
    </xf>
    <xf numFmtId="0" fontId="0" fillId="0" borderId="15" xfId="0" applyBorder="1" applyAlignment="1">
      <alignment horizontal="left" vertical="top" wrapText="1"/>
    </xf>
    <xf numFmtId="14" fontId="0" fillId="0" borderId="15" xfId="0" applyNumberFormat="1" applyBorder="1" applyAlignment="1">
      <alignment horizontal="left" vertical="top" wrapText="1"/>
    </xf>
    <xf numFmtId="49" fontId="0" fillId="0" borderId="15" xfId="0" applyNumberFormat="1" applyBorder="1" applyAlignment="1">
      <alignment horizontal="left" vertical="top" wrapText="1"/>
    </xf>
    <xf numFmtId="0" fontId="0" fillId="0" borderId="15" xfId="0" applyBorder="1" applyAlignment="1">
      <alignment horizontal="center" vertical="top" wrapText="1"/>
    </xf>
    <xf numFmtId="10" fontId="0" fillId="0" borderId="15" xfId="0" applyNumberFormat="1" applyBorder="1" applyAlignment="1">
      <alignment horizontal="left" vertical="top" wrapText="1"/>
    </xf>
    <xf numFmtId="9" fontId="0" fillId="0" borderId="15" xfId="0" applyNumberFormat="1" applyBorder="1" applyAlignment="1">
      <alignment horizontal="left" vertical="top" wrapText="1"/>
    </xf>
    <xf numFmtId="0" fontId="0" fillId="0" borderId="15" xfId="0" applyBorder="1" applyAlignment="1">
      <alignment vertical="center" wrapText="1"/>
    </xf>
    <xf numFmtId="0" fontId="20" fillId="7" borderId="15" xfId="0" applyFont="1" applyFill="1" applyBorder="1" applyAlignment="1">
      <alignment horizontal="center" vertical="center"/>
    </xf>
    <xf numFmtId="0" fontId="20" fillId="5" borderId="15" xfId="0" applyFont="1" applyFill="1" applyBorder="1" applyAlignment="1">
      <alignment horizontal="center" vertical="center"/>
    </xf>
    <xf numFmtId="0" fontId="20" fillId="8" borderId="15" xfId="0" applyFont="1" applyFill="1" applyBorder="1" applyAlignment="1">
      <alignment horizontal="center" vertical="center"/>
    </xf>
    <xf numFmtId="1" fontId="20" fillId="4" borderId="15" xfId="0" applyNumberFormat="1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20" fillId="5" borderId="15" xfId="0" applyFont="1" applyFill="1" applyBorder="1" applyAlignment="1">
      <alignment horizontal="center" vertical="center" wrapText="1"/>
    </xf>
    <xf numFmtId="0" fontId="20" fillId="6" borderId="15" xfId="0" applyFont="1" applyFill="1" applyBorder="1" applyAlignment="1">
      <alignment horizontal="center" vertical="center"/>
    </xf>
    <xf numFmtId="14" fontId="12" fillId="0" borderId="4" xfId="0" applyNumberFormat="1" applyFont="1" applyBorder="1" applyAlignment="1">
      <alignment horizontal="left" vertical="center"/>
    </xf>
    <xf numFmtId="14" fontId="12" fillId="0" borderId="0" xfId="0" applyNumberFormat="1" applyFont="1" applyAlignment="1">
      <alignment horizontal="left" vertical="center"/>
    </xf>
    <xf numFmtId="14" fontId="12" fillId="0" borderId="5" xfId="0" applyNumberFormat="1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49" fontId="6" fillId="0" borderId="1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8" fillId="2" borderId="23" xfId="0" applyNumberFormat="1" applyFont="1" applyFill="1" applyBorder="1" applyAlignment="1">
      <alignment vertical="center"/>
    </xf>
    <xf numFmtId="49" fontId="8" fillId="2" borderId="21" xfId="0" applyNumberFormat="1" applyFont="1" applyFill="1" applyBorder="1" applyAlignment="1">
      <alignment vertical="center"/>
    </xf>
    <xf numFmtId="49" fontId="9" fillId="2" borderId="21" xfId="0" applyNumberFormat="1" applyFont="1" applyFill="1" applyBorder="1" applyAlignment="1">
      <alignment vertical="center"/>
    </xf>
    <xf numFmtId="49" fontId="9" fillId="2" borderId="22" xfId="0" applyNumberFormat="1" applyFont="1" applyFill="1" applyBorder="1" applyAlignment="1">
      <alignment vertical="center"/>
    </xf>
    <xf numFmtId="0" fontId="6" fillId="0" borderId="1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49" fontId="10" fillId="0" borderId="10" xfId="0" applyNumberFormat="1" applyFont="1" applyBorder="1" applyAlignment="1">
      <alignment horizontal="left" vertical="center"/>
    </xf>
    <xf numFmtId="49" fontId="10" fillId="0" borderId="11" xfId="0" applyNumberFormat="1" applyFont="1" applyBorder="1" applyAlignment="1">
      <alignment horizontal="left" vertical="center"/>
    </xf>
    <xf numFmtId="49" fontId="10" fillId="0" borderId="13" xfId="0" applyNumberFormat="1" applyFont="1" applyBorder="1" applyAlignment="1">
      <alignment horizontal="left" vertical="center"/>
    </xf>
    <xf numFmtId="49" fontId="7" fillId="0" borderId="4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7" fillId="0" borderId="5" xfId="0" applyNumberFormat="1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49" fontId="6" fillId="0" borderId="4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/>
    </xf>
    <xf numFmtId="49" fontId="10" fillId="0" borderId="4" xfId="0" applyNumberFormat="1" applyFont="1" applyBorder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49" fontId="10" fillId="0" borderId="5" xfId="0" applyNumberFormat="1" applyFont="1" applyBorder="1" applyAlignment="1">
      <alignment horizontal="left" vertical="center"/>
    </xf>
    <xf numFmtId="49" fontId="10" fillId="0" borderId="6" xfId="0" applyNumberFormat="1" applyFont="1" applyBorder="1" applyAlignment="1">
      <alignment horizontal="left" vertical="center"/>
    </xf>
    <xf numFmtId="49" fontId="10" fillId="0" borderId="7" xfId="0" applyNumberFormat="1" applyFont="1" applyBorder="1" applyAlignment="1">
      <alignment horizontal="left" vertical="center"/>
    </xf>
    <xf numFmtId="49" fontId="10" fillId="0" borderId="8" xfId="0" applyNumberFormat="1" applyFont="1" applyBorder="1" applyAlignment="1">
      <alignment horizontal="left" vertical="center"/>
    </xf>
    <xf numFmtId="49" fontId="10" fillId="0" borderId="15" xfId="0" applyNumberFormat="1" applyFont="1" applyBorder="1" applyAlignment="1">
      <alignment vertical="center"/>
    </xf>
    <xf numFmtId="49" fontId="11" fillId="0" borderId="16" xfId="0" applyNumberFormat="1" applyFont="1" applyBorder="1" applyAlignment="1">
      <alignment horizontal="left" vertical="center"/>
    </xf>
    <xf numFmtId="49" fontId="11" fillId="0" borderId="17" xfId="0" applyNumberFormat="1" applyFont="1" applyBorder="1" applyAlignment="1">
      <alignment horizontal="left" vertical="center"/>
    </xf>
    <xf numFmtId="49" fontId="11" fillId="0" borderId="18" xfId="0" applyNumberFormat="1" applyFont="1" applyBorder="1" applyAlignment="1">
      <alignment horizontal="left" vertical="center"/>
    </xf>
    <xf numFmtId="0" fontId="10" fillId="0" borderId="28" xfId="0" applyFont="1" applyBorder="1" applyAlignment="1">
      <alignment horizontal="left" vertical="center"/>
    </xf>
    <xf numFmtId="0" fontId="10" fillId="0" borderId="30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19" xfId="0" applyFont="1" applyBorder="1" applyAlignment="1">
      <alignment vertical="center"/>
    </xf>
    <xf numFmtId="14" fontId="11" fillId="0" borderId="1" xfId="0" applyNumberFormat="1" applyFont="1" applyBorder="1" applyAlignment="1">
      <alignment horizontal="left" vertical="center"/>
    </xf>
    <xf numFmtId="14" fontId="11" fillId="0" borderId="2" xfId="0" applyNumberFormat="1" applyFont="1" applyBorder="1" applyAlignment="1">
      <alignment horizontal="left" vertical="center"/>
    </xf>
    <xf numFmtId="14" fontId="11" fillId="0" borderId="3" xfId="0" applyNumberFormat="1" applyFont="1" applyBorder="1" applyAlignment="1">
      <alignment horizontal="left" vertical="center"/>
    </xf>
    <xf numFmtId="49" fontId="11" fillId="2" borderId="23" xfId="0" applyNumberFormat="1" applyFont="1" applyFill="1" applyBorder="1" applyAlignment="1">
      <alignment horizontal="center" vertical="center"/>
    </xf>
    <xf numFmtId="49" fontId="11" fillId="2" borderId="21" xfId="0" applyNumberFormat="1" applyFont="1" applyFill="1" applyBorder="1" applyAlignment="1">
      <alignment horizontal="center" vertical="center"/>
    </xf>
    <xf numFmtId="49" fontId="11" fillId="2" borderId="22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49" fontId="11" fillId="0" borderId="4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5" xfId="0" applyFont="1" applyBorder="1" applyAlignment="1">
      <alignment vertical="center"/>
    </xf>
    <xf numFmtId="0" fontId="7" fillId="0" borderId="4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49" fontId="10" fillId="0" borderId="4" xfId="0" applyNumberFormat="1" applyFont="1" applyBorder="1" applyAlignment="1">
      <alignment vertical="center"/>
    </xf>
    <xf numFmtId="49" fontId="10" fillId="0" borderId="5" xfId="0" applyNumberFormat="1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0" fontId="10" fillId="0" borderId="4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5" xfId="0" applyFont="1" applyBorder="1" applyAlignment="1">
      <alignment horizontal="left"/>
    </xf>
    <xf numFmtId="1" fontId="7" fillId="0" borderId="4" xfId="0" applyNumberFormat="1" applyFont="1" applyBorder="1" applyAlignment="1">
      <alignment horizontal="left" vertical="center"/>
    </xf>
    <xf numFmtId="1" fontId="7" fillId="0" borderId="0" xfId="0" applyNumberFormat="1" applyFont="1" applyAlignment="1">
      <alignment horizontal="left" vertical="center"/>
    </xf>
    <xf numFmtId="1" fontId="7" fillId="0" borderId="5" xfId="0" applyNumberFormat="1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0" borderId="1" xfId="2" applyBorder="1" applyAlignment="1">
      <alignment horizontal="left" vertical="top"/>
    </xf>
    <xf numFmtId="0" fontId="5" fillId="0" borderId="2" xfId="2" applyBorder="1" applyAlignment="1">
      <alignment horizontal="left" vertical="top"/>
    </xf>
    <xf numFmtId="0" fontId="5" fillId="0" borderId="3" xfId="2" applyBorder="1" applyAlignment="1">
      <alignment horizontal="left" vertical="top"/>
    </xf>
    <xf numFmtId="0" fontId="5" fillId="0" borderId="4" xfId="2" applyBorder="1" applyAlignment="1">
      <alignment horizontal="left" vertical="top"/>
    </xf>
    <xf numFmtId="0" fontId="5" fillId="0" borderId="0" xfId="2" applyBorder="1" applyAlignment="1">
      <alignment horizontal="left" vertical="top"/>
    </xf>
    <xf numFmtId="0" fontId="5" fillId="0" borderId="5" xfId="2" applyBorder="1" applyAlignment="1">
      <alignment horizontal="left" vertical="top"/>
    </xf>
    <xf numFmtId="0" fontId="5" fillId="0" borderId="6" xfId="2" applyBorder="1" applyAlignment="1">
      <alignment horizontal="left" vertical="top"/>
    </xf>
    <xf numFmtId="0" fontId="5" fillId="0" borderId="7" xfId="2" applyBorder="1" applyAlignment="1">
      <alignment horizontal="left" vertical="top"/>
    </xf>
    <xf numFmtId="0" fontId="5" fillId="0" borderId="8" xfId="2" applyBorder="1" applyAlignment="1">
      <alignment horizontal="left" vertical="top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2" fillId="0" borderId="0" xfId="0" applyFont="1" applyAlignment="1">
      <alignment horizontal="left"/>
    </xf>
    <xf numFmtId="0" fontId="12" fillId="0" borderId="26" xfId="0" applyFont="1" applyBorder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1" fillId="0" borderId="43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49" fontId="11" fillId="2" borderId="12" xfId="0" applyNumberFormat="1" applyFont="1" applyFill="1" applyBorder="1" applyAlignment="1">
      <alignment horizontal="center" vertical="center"/>
    </xf>
    <xf numFmtId="49" fontId="11" fillId="2" borderId="11" xfId="0" applyNumberFormat="1" applyFont="1" applyFill="1" applyBorder="1" applyAlignment="1">
      <alignment horizontal="center" vertical="center"/>
    </xf>
    <xf numFmtId="49" fontId="11" fillId="2" borderId="37" xfId="0" applyNumberFormat="1" applyFont="1" applyFill="1" applyBorder="1" applyAlignment="1">
      <alignment horizontal="center" vertical="center"/>
    </xf>
    <xf numFmtId="164" fontId="11" fillId="0" borderId="25" xfId="1" applyFont="1" applyBorder="1" applyAlignment="1">
      <alignment horizontal="center" vertical="center"/>
    </xf>
    <xf numFmtId="164" fontId="11" fillId="0" borderId="9" xfId="1" applyFont="1" applyBorder="1" applyAlignment="1">
      <alignment horizontal="center" vertical="center"/>
    </xf>
    <xf numFmtId="164" fontId="11" fillId="0" borderId="41" xfId="1" applyFont="1" applyBorder="1" applyAlignment="1">
      <alignment horizontal="center" vertical="center"/>
    </xf>
    <xf numFmtId="165" fontId="11" fillId="2" borderId="23" xfId="0" applyNumberFormat="1" applyFont="1" applyFill="1" applyBorder="1" applyAlignment="1">
      <alignment horizontal="center" vertical="center"/>
    </xf>
    <xf numFmtId="165" fontId="11" fillId="2" borderId="21" xfId="0" applyNumberFormat="1" applyFont="1" applyFill="1" applyBorder="1" applyAlignment="1">
      <alignment horizontal="center" vertical="center"/>
    </xf>
    <xf numFmtId="165" fontId="11" fillId="2" borderId="22" xfId="0" applyNumberFormat="1" applyFont="1" applyFill="1" applyBorder="1" applyAlignment="1">
      <alignment horizontal="center" vertical="center"/>
    </xf>
    <xf numFmtId="165" fontId="11" fillId="2" borderId="20" xfId="0" applyNumberFormat="1" applyFont="1" applyFill="1" applyBorder="1" applyAlignment="1">
      <alignment horizontal="left" vertical="center"/>
    </xf>
    <xf numFmtId="165" fontId="11" fillId="2" borderId="21" xfId="0" applyNumberFormat="1" applyFont="1" applyFill="1" applyBorder="1" applyAlignment="1">
      <alignment horizontal="left" vertical="center"/>
    </xf>
    <xf numFmtId="165" fontId="11" fillId="2" borderId="22" xfId="0" applyNumberFormat="1" applyFont="1" applyFill="1" applyBorder="1" applyAlignment="1">
      <alignment horizontal="left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165" fontId="11" fillId="0" borderId="4" xfId="0" applyNumberFormat="1" applyFont="1" applyBorder="1" applyAlignment="1">
      <alignment vertical="center" wrapText="1"/>
    </xf>
    <xf numFmtId="165" fontId="11" fillId="0" borderId="0" xfId="0" applyNumberFormat="1" applyFont="1" applyAlignment="1">
      <alignment vertical="center" wrapText="1"/>
    </xf>
    <xf numFmtId="165" fontId="11" fillId="0" borderId="26" xfId="0" applyNumberFormat="1" applyFont="1" applyBorder="1" applyAlignment="1">
      <alignment vertical="center" wrapText="1"/>
    </xf>
    <xf numFmtId="165" fontId="11" fillId="0" borderId="28" xfId="0" applyNumberFormat="1" applyFont="1" applyBorder="1" applyAlignment="1">
      <alignment horizontal="left" vertical="center"/>
    </xf>
    <xf numFmtId="165" fontId="11" fillId="0" borderId="30" xfId="0" applyNumberFormat="1" applyFont="1" applyBorder="1" applyAlignment="1">
      <alignment horizontal="left" vertical="center"/>
    </xf>
    <xf numFmtId="165" fontId="11" fillId="0" borderId="31" xfId="0" applyNumberFormat="1" applyFont="1" applyBorder="1" applyAlignment="1">
      <alignment horizontal="left" vertical="center"/>
    </xf>
    <xf numFmtId="49" fontId="11" fillId="0" borderId="11" xfId="0" applyNumberFormat="1" applyFont="1" applyBorder="1" applyAlignment="1">
      <alignment horizontal="left" vertical="center"/>
    </xf>
    <xf numFmtId="49" fontId="11" fillId="0" borderId="37" xfId="0" applyNumberFormat="1" applyFont="1" applyBorder="1" applyAlignment="1">
      <alignment horizontal="left" vertical="center"/>
    </xf>
    <xf numFmtId="49" fontId="10" fillId="0" borderId="0" xfId="0" applyNumberFormat="1" applyFont="1" applyAlignment="1">
      <alignment vertical="center"/>
    </xf>
    <xf numFmtId="49" fontId="10" fillId="0" borderId="26" xfId="0" applyNumberFormat="1" applyFont="1" applyBorder="1" applyAlignment="1">
      <alignment vertical="center"/>
    </xf>
    <xf numFmtId="49" fontId="10" fillId="0" borderId="28" xfId="0" applyNumberFormat="1" applyFont="1" applyBorder="1" applyAlignment="1">
      <alignment vertical="center"/>
    </xf>
    <xf numFmtId="49" fontId="10" fillId="0" borderId="30" xfId="0" applyNumberFormat="1" applyFont="1" applyBorder="1" applyAlignment="1">
      <alignment vertical="center"/>
    </xf>
    <xf numFmtId="49" fontId="10" fillId="0" borderId="31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49" fontId="11" fillId="0" borderId="0" xfId="0" applyNumberFormat="1" applyFont="1" applyAlignment="1">
      <alignment horizontal="left" vertical="center"/>
    </xf>
    <xf numFmtId="49" fontId="11" fillId="0" borderId="26" xfId="0" applyNumberFormat="1" applyFont="1" applyBorder="1" applyAlignment="1">
      <alignment horizontal="left" vertical="center"/>
    </xf>
    <xf numFmtId="49" fontId="10" fillId="0" borderId="11" xfId="0" applyNumberFormat="1" applyFont="1" applyBorder="1" applyAlignment="1">
      <alignment horizontal="center" vertical="center"/>
    </xf>
    <xf numFmtId="49" fontId="10" fillId="0" borderId="13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5" xfId="0" applyNumberFormat="1" applyFont="1" applyBorder="1" applyAlignment="1">
      <alignment horizontal="center" vertical="center"/>
    </xf>
    <xf numFmtId="49" fontId="11" fillId="0" borderId="14" xfId="0" applyNumberFormat="1" applyFont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46"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/mm/yyyy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/mm/yyyy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282576</xdr:colOff>
      <xdr:row>55</xdr:row>
      <xdr:rowOff>244475</xdr:rowOff>
    </xdr:from>
    <xdr:to>
      <xdr:col>11</xdr:col>
      <xdr:colOff>1425576</xdr:colOff>
      <xdr:row>67</xdr:row>
      <xdr:rowOff>121140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764CAA-AB57-4F1F-393C-9B50E41AE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57" b="99735" l="3415" r="99512">
                      <a14:foregroundMark x1="60488" y1="36074" x2="57724" y2="51724"/>
                      <a14:foregroundMark x1="57724" y1="51724" x2="42114" y2="60743"/>
                      <a14:foregroundMark x1="42114" y1="60743" x2="56423" y2="35013"/>
                      <a14:foregroundMark x1="56423" y1="35013" x2="46341" y2="46684"/>
                      <a14:foregroundMark x1="46341" y1="46684" x2="71057" y2="38196"/>
                      <a14:foregroundMark x1="71057" y1="38196" x2="61789" y2="31565"/>
                      <a14:foregroundMark x1="61789" y1="31565" x2="55447" y2="45093"/>
                      <a14:foregroundMark x1="55447" y1="45093" x2="37398" y2="40318"/>
                      <a14:foregroundMark x1="37398" y1="40318" x2="14959" y2="52255"/>
                      <a14:foregroundMark x1="14959" y1="52255" x2="24228" y2="36340"/>
                      <a14:foregroundMark x1="24228" y1="36340" x2="29919" y2="53316"/>
                      <a14:foregroundMark x1="29919" y1="53316" x2="18862" y2="47215"/>
                      <a14:foregroundMark x1="18862" y1="47215" x2="28780" y2="67374"/>
                      <a14:foregroundMark x1="28780" y1="67374" x2="27805" y2="90186"/>
                      <a14:foregroundMark x1="27805" y1="90186" x2="40163" y2="86472"/>
                      <a14:foregroundMark x1="40163" y1="86472" x2="48780" y2="79045"/>
                      <a14:foregroundMark x1="48780" y1="79045" x2="40976" y2="84881"/>
                      <a14:foregroundMark x1="40976" y1="84881" x2="48293" y2="45358"/>
                      <a14:foregroundMark x1="48293" y1="45358" x2="24715" y2="7958"/>
                      <a14:foregroundMark x1="24715" y1="7958" x2="33984" y2="18302"/>
                      <a14:foregroundMark x1="33984" y1="18302" x2="79675" y2="39788"/>
                      <a14:foregroundMark x1="79675" y1="39788" x2="81301" y2="58090"/>
                      <a14:foregroundMark x1="81301" y1="58090" x2="88293" y2="41114"/>
                      <a14:foregroundMark x1="88293" y1="41114" x2="86016" y2="47480"/>
                      <a14:foregroundMark x1="18049" y1="21485" x2="16098" y2="42971"/>
                      <a14:foregroundMark x1="16098" y1="42971" x2="4553" y2="30504"/>
                      <a14:foregroundMark x1="4553" y1="30504" x2="8780" y2="68435"/>
                      <a14:foregroundMark x1="8780" y1="68435" x2="10244" y2="52785"/>
                      <a14:foregroundMark x1="10244" y1="52785" x2="15935" y2="70027"/>
                      <a14:foregroundMark x1="15935" y1="70027" x2="28293" y2="70027"/>
                      <a14:foregroundMark x1="28293" y1="70027" x2="36585" y2="84350"/>
                      <a14:foregroundMark x1="36585" y1="84350" x2="65366" y2="75597"/>
                      <a14:foregroundMark x1="65366" y1="75597" x2="56911" y2="74271"/>
                      <a14:foregroundMark x1="56911" y1="74271" x2="73984" y2="62599"/>
                      <a14:foregroundMark x1="73984" y1="62599" x2="81857" y2="64205"/>
                      <a14:foregroundMark x1="87544" y1="62710" x2="92520" y2="39788"/>
                      <a14:foregroundMark x1="46667" y1="87268" x2="35285" y2="93634"/>
                      <a14:foregroundMark x1="35285" y1="93634" x2="26204" y2="93259"/>
                      <a14:foregroundMark x1="35447" y1="95491" x2="35447" y2="95491"/>
                      <a14:foregroundMark x1="48293" y1="88329" x2="29919" y2="92838"/>
                      <a14:foregroundMark x1="29919" y1="92838" x2="14309" y2="81698"/>
                      <a14:foregroundMark x1="14309" y1="81698" x2="5366" y2="61008"/>
                      <a14:foregroundMark x1="5366" y1="61008" x2="4715" y2="23077"/>
                      <a14:foregroundMark x1="4715" y1="23077" x2="976" y2="43501"/>
                      <a14:foregroundMark x1="976" y1="43501" x2="3577" y2="61273"/>
                      <a14:foregroundMark x1="3577" y1="61273" x2="7154" y2="71883"/>
                      <a14:foregroundMark x1="5041" y1="59416" x2="14087" y2="85980"/>
                      <a14:foregroundMark x1="24180" y1="98145" x2="26504" y2="99735"/>
                      <a14:foregroundMark x1="3415" y1="29973" x2="7967" y2="15119"/>
                      <a14:foregroundMark x1="7967" y1="15119" x2="14146" y2="5836"/>
                      <a14:foregroundMark x1="7642" y1="5836" x2="21463" y2="1857"/>
                      <a14:foregroundMark x1="21463" y1="1857" x2="44553" y2="5040"/>
                      <a14:foregroundMark x1="44553" y1="5040" x2="59070" y2="2944"/>
                      <a14:foregroundMark x1="59317" y1="2338" x2="43577" y2="2122"/>
                      <a14:foregroundMark x1="61199" y1="7092" x2="72683" y2="22812"/>
                      <a14:foregroundMark x1="58537" y1="3448" x2="58747" y2="3736"/>
                      <a14:foregroundMark x1="72683" y1="22812" x2="99512" y2="31830"/>
                      <a14:foregroundMark x1="21626" y1="48806" x2="16423" y2="64721"/>
                      <a14:foregroundMark x1="16423" y1="64721" x2="27317" y2="74536"/>
                      <a14:foregroundMark x1="27317" y1="74536" x2="42276" y2="74801"/>
                      <a14:foregroundMark x1="42276" y1="74801" x2="50894" y2="62599"/>
                      <a14:foregroundMark x1="50894" y1="62599" x2="51870" y2="42971"/>
                      <a14:foregroundMark x1="51870" y1="42971" x2="48618" y2="25464"/>
                      <a14:foregroundMark x1="48618" y1="25464" x2="41789" y2="14324"/>
                      <a14:foregroundMark x1="41789" y1="14324" x2="31220" y2="12467"/>
                      <a14:foregroundMark x1="31220" y1="12467" x2="20976" y2="19894"/>
                      <a14:foregroundMark x1="20976" y1="19894" x2="13821" y2="42175"/>
                      <a14:foregroundMark x1="13821" y1="42175" x2="13333" y2="51724"/>
                      <a14:foregroundMark x1="27317" y1="53846" x2="18537" y2="62334"/>
                      <a14:foregroundMark x1="18537" y1="62334" x2="26829" y2="68700"/>
                      <a14:foregroundMark x1="26829" y1="68700" x2="30081" y2="55172"/>
                      <a14:foregroundMark x1="26504" y1="59416" x2="20813" y2="57560"/>
                      <a14:foregroundMark x1="22602" y1="57560" x2="21463" y2="73210"/>
                      <a14:foregroundMark x1="24228" y1="56764" x2="24715" y2="69496"/>
                      <a14:backgroundMark x1="79350" y1="69496" x2="81951" y2="82759"/>
                      <a14:backgroundMark x1="81951" y1="82759" x2="94146" y2="82228"/>
                      <a14:backgroundMark x1="94146" y1="82228" x2="99837" y2="82228"/>
                      <a14:backgroundMark x1="80650" y1="66844" x2="87480" y2="76393"/>
                      <a14:backgroundMark x1="87480" y1="76393" x2="98049" y2="72944"/>
                      <a14:backgroundMark x1="98049" y1="72944" x2="82114" y2="64987"/>
                      <a14:backgroundMark x1="8455" y1="87798" x2="2927" y2="72414"/>
                      <a14:backgroundMark x1="2927" y1="72414" x2="0" y2="70292"/>
                      <a14:backgroundMark x1="59837" y1="1061" x2="81951" y2="3448"/>
                      <a14:backgroundMark x1="81951" y1="3448" x2="99187" y2="2122"/>
                      <a14:backgroundMark x1="11870" y1="90186" x2="23902" y2="98674"/>
                      <a14:backgroundMark x1="5366" y1="75066" x2="1463" y2="5888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0203" y="19617356"/>
          <a:ext cx="6050797" cy="3482174"/>
        </a:xfrm>
        <a:prstGeom prst="rect">
          <a:avLst/>
        </a:prstGeom>
      </xdr:spPr>
    </xdr:pic>
    <xdr:clientData/>
  </xdr:twoCellAnchor>
  <xdr:twoCellAnchor>
    <xdr:from>
      <xdr:col>14</xdr:col>
      <xdr:colOff>952500</xdr:colOff>
      <xdr:row>2</xdr:row>
      <xdr:rowOff>254000</xdr:rowOff>
    </xdr:from>
    <xdr:to>
      <xdr:col>19</xdr:col>
      <xdr:colOff>127000</xdr:colOff>
      <xdr:row>8</xdr:row>
      <xdr:rowOff>127000</xdr:rowOff>
    </xdr:to>
    <xdr:sp macro="[0]!ThisWorkbook.GenerateInvoices" textlink="">
      <xdr:nvSpPr>
        <xdr:cNvPr id="2" name="Rounded Rectangle 1">
          <a:extLst>
            <a:ext uri="{FF2B5EF4-FFF2-40B4-BE49-F238E27FC236}">
              <a16:creationId xmlns:a16="http://schemas.microsoft.com/office/drawing/2014/main" id="{81B4A670-9B86-C0AA-290E-80B03F5F9BB0}"/>
            </a:ext>
          </a:extLst>
        </xdr:cNvPr>
        <xdr:cNvSpPr/>
      </xdr:nvSpPr>
      <xdr:spPr>
        <a:xfrm>
          <a:off x="21875750" y="635000"/>
          <a:ext cx="4381500" cy="234950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000" kern="1200"/>
            <a:t>GENERATE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BC5EEC-E0BC-44BE-94A8-B413C1CF7959}" name="Table1" displayName="Table1" ref="A2:AR4" totalsRowShown="0" headerRowDxfId="45" dataDxfId="44">
  <autoFilter ref="A2:AR4" xr:uid="{92BC5EEC-E0BC-44BE-94A8-B413C1CF795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</autoFilter>
  <tableColumns count="44">
    <tableColumn id="1" xr3:uid="{066713DA-1046-4B92-8895-C157AA763D79}" name="Invoice No." dataDxfId="43"/>
    <tableColumn id="3" xr3:uid="{56FCF332-775D-46E6-8B04-FB9230A914AB}" name="Order Date" dataDxfId="42"/>
    <tableColumn id="59" xr3:uid="{5BE26172-F55D-4827-B040-D8CAA2DD9D95}" name="Ewaybill No" dataDxfId="41"/>
    <tableColumn id="60" xr3:uid="{802FCFC2-F9F0-4A9D-A13B-F79CF529A5F7}" name="DC No." dataDxfId="40"/>
    <tableColumn id="19" xr3:uid="{E914E694-2B85-4041-A2FB-2066EE391D7D}" name="Reverse Charge (Y/N)" dataDxfId="39"/>
    <tableColumn id="20" xr3:uid="{B4E9D42F-3D78-4425-A717-AF3E1905A029}" name="State" dataDxfId="38"/>
    <tableColumn id="21" xr3:uid="{65CBE59C-21C5-449B-928E-06EB1E228C7B}" name="Code" dataDxfId="37"/>
    <tableColumn id="22" xr3:uid="{63ED5E0D-500A-4D40-84D4-B6E61DC55409}" name="Transport Mode" dataDxfId="36"/>
    <tableColumn id="23" xr3:uid="{6671448E-6E41-49DE-A773-04BB074FE0B2}" name="Vehicle number" dataDxfId="35"/>
    <tableColumn id="24" xr3:uid="{3EDE2977-F266-4F87-9F27-B76A0575E93F}" name="Lorry  No" dataDxfId="34"/>
    <tableColumn id="25" xr3:uid="{C02ACB0B-E403-4E09-8B6D-02036D1CAF7E}" name="Place of Despatch" dataDxfId="33"/>
    <tableColumn id="61" xr3:uid="{8CD71F8D-DD36-45A1-8D6D-A8F0B0261CB3}" name="Contact Person" dataDxfId="32"/>
    <tableColumn id="26" xr3:uid="{9E23EC05-3258-44F2-8BAD-AED7D8A2227A}" name="Purchase Order No" dataDxfId="31"/>
    <tableColumn id="27" xr3:uid="{533F6281-5C2C-4E7D-A90B-59316E35D45A}" name="Purchase Order Date" dataDxfId="30"/>
    <tableColumn id="28" xr3:uid="{0EA3850D-18D3-4FC2-850D-9322ED1AE6B2}" name="Name" dataDxfId="29"/>
    <tableColumn id="29" xr3:uid="{62126930-CBA7-42D0-B1DA-E75C1203558D}" name="Address" dataDxfId="28"/>
    <tableColumn id="30" xr3:uid="{0A173743-7BD7-47CA-BA12-72CC81377145}" name="Project No" dataDxfId="27"/>
    <tableColumn id="31" xr3:uid="{AC23FAE6-870B-4CFC-A729-F3D3B06EBD7E}" name="Contact Number" dataDxfId="26"/>
    <tableColumn id="32" xr3:uid="{C87526AD-5578-48E4-902E-0283C6A6C8DD}" name="GSTIN" dataDxfId="25"/>
    <tableColumn id="33" xr3:uid="{D389885E-8583-45FC-AD3C-6564B8864228}" name="IEC CODE " dataDxfId="24"/>
    <tableColumn id="34" xr3:uid="{6CD4D174-A7A1-4437-A6BC-1512F18AF5C0}" name="State-" dataDxfId="23"/>
    <tableColumn id="35" xr3:uid="{AB60EEC4-46B0-435E-A034-C0E3FEA91BA6}" name="Code-" dataDxfId="22"/>
    <tableColumn id="36" xr3:uid="{0C7D3E86-CBDA-4D01-957F-2E21284885C5}" name="PAN No:" dataDxfId="21"/>
    <tableColumn id="37" xr3:uid="{1DBA0CE6-F8B6-4268-BE6C-F63882622740}" name="CONSIGNEE NAME" dataDxfId="20"/>
    <tableColumn id="38" xr3:uid="{529A2AF4-2B49-42D7-9881-35F288BA9ECE}" name="CONSIGNEE ADDRESS" dataDxfId="19"/>
    <tableColumn id="39" xr3:uid="{D0146D44-CD0C-4130-B48C-57A85D66A9F4}" name="Contact Person-" dataDxfId="18"/>
    <tableColumn id="40" xr3:uid="{BB9F5B4A-484D-4AA8-AA05-07772D9E4BFA}" name="Emial ID" dataDxfId="17"/>
    <tableColumn id="41" xr3:uid="{2D3B0255-FC26-487A-A416-478C5E40B805}" name="Payment Terms" dataDxfId="16"/>
    <tableColumn id="42" xr3:uid="{DFA6481B-311E-435C-BF96-470F01729AA2}" name="Sl No." dataDxfId="15"/>
    <tableColumn id="43" xr3:uid="{DC47CA0F-EBCE-4916-AEA6-611DAC73B2E0}" name="Prodcut Description" dataDxfId="14"/>
    <tableColumn id="44" xr3:uid="{736F874B-E025-4A62-A4D9-C1A8B8378812}" name="HSN Code" dataDxfId="13"/>
    <tableColumn id="45" xr3:uid="{43F568FA-A479-4306-B0EB-9E6BF699B58C}" name="UOM" dataDxfId="12"/>
    <tableColumn id="46" xr3:uid="{72932F5E-8A83-44B3-8921-E43BB795E62D}" name="Units" dataDxfId="11"/>
    <tableColumn id="47" xr3:uid="{73C63955-BA52-4704-A185-BA15AADED759}" name="Unit Rates in Rs." dataDxfId="10"/>
    <tableColumn id="48" xr3:uid="{9A86DE97-98E2-45F0-B9E1-3B07FFAF4674}" name="Total Rates in Rs." dataDxfId="9"/>
    <tableColumn id="54" xr3:uid="{E16DA698-1CD7-4A80-A296-BE341448E60F}" name="CGST" dataDxfId="8"/>
    <tableColumn id="55" xr3:uid="{F92994A4-5B43-4E6D-9DC3-40B7DEC91B4D}" name="SGST" dataDxfId="7"/>
    <tableColumn id="56" xr3:uid="{C64C2E15-5B0C-4F6F-B728-F9AC94FC78D2}" name="IGST" dataDxfId="6"/>
    <tableColumn id="57" xr3:uid="{A7CD1C60-3400-431D-B4BC-C259D2318158}" name="Round Off" dataDxfId="5"/>
    <tableColumn id="58" xr3:uid="{C2A87DD0-45FB-4890-B5CA-2D557F7DE663}" name="GST on Reverse Charge" dataDxfId="4"/>
    <tableColumn id="50" xr3:uid="{D3FF1E7C-0290-4E26-A39F-FC1A9E196925}" name="Bank Name " dataDxfId="3"/>
    <tableColumn id="51" xr3:uid="{AFD814A4-9FA1-4DF4-862A-FC9C3EA585ED}" name="ACCT No." dataDxfId="2"/>
    <tableColumn id="52" xr3:uid="{5620A4E6-8717-4D9F-9876-635F76C4E3CF}" name="Branch Name" dataDxfId="1"/>
    <tableColumn id="53" xr3:uid="{130C822A-3A42-4550-B91F-8D25547EFBBB}" name="IFSC Cod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25D3-CA98-4384-912E-5B5A16370623}">
  <sheetPr codeName="Sheet1"/>
  <dimension ref="A1:AR5"/>
  <sheetViews>
    <sheetView zoomScale="133" zoomScaleNormal="133" workbookViewId="0">
      <selection activeCell="D10" sqref="D10"/>
    </sheetView>
  </sheetViews>
  <sheetFormatPr baseColWidth="10" defaultColWidth="8.83203125" defaultRowHeight="15" x14ac:dyDescent="0.2"/>
  <cols>
    <col min="1" max="1" width="12.1640625" customWidth="1"/>
    <col min="2" max="2" width="16.33203125" style="108" customWidth="1"/>
    <col min="3" max="4" width="16.33203125" customWidth="1"/>
    <col min="5" max="5" width="11.6640625" style="135" customWidth="1"/>
    <col min="6" max="6" width="13.83203125" style="135" customWidth="1"/>
    <col min="7" max="7" width="16.6640625" style="109" customWidth="1"/>
    <col min="8" max="8" width="10" style="112" customWidth="1"/>
    <col min="9" max="9" width="11" customWidth="1"/>
    <col min="10" max="10" width="5.6640625" customWidth="1"/>
    <col min="11" max="12" width="10.33203125" customWidth="1"/>
    <col min="14" max="14" width="10.33203125" style="133" bestFit="1" customWidth="1"/>
    <col min="15" max="15" width="8.6640625" style="112"/>
    <col min="16" max="16" width="26" bestFit="1" customWidth="1"/>
    <col min="22" max="22" width="9" bestFit="1" customWidth="1"/>
    <col min="23" max="23" width="8.6640625" style="109"/>
    <col min="24" max="24" width="8.6640625" style="112"/>
    <col min="25" max="25" width="26.33203125" bestFit="1" customWidth="1"/>
    <col min="28" max="28" width="8.6640625" style="109"/>
    <col min="29" max="29" width="8.83203125" style="137" bestFit="1"/>
    <col min="31" max="31" width="9.1640625" bestFit="1" customWidth="1"/>
    <col min="33" max="33" width="8.6640625" style="139"/>
    <col min="36" max="36" width="8.6640625" style="112"/>
    <col min="40" max="40" width="8.6640625" style="109"/>
    <col min="41" max="41" width="8.6640625" style="112"/>
    <col min="42" max="42" width="11.83203125" bestFit="1" customWidth="1"/>
    <col min="44" max="44" width="8.6640625" style="109"/>
  </cols>
  <sheetData>
    <row r="1" spans="1:44" s="93" customFormat="1" ht="29" customHeight="1" x14ac:dyDescent="0.2">
      <c r="A1" s="159" t="s">
        <v>99</v>
      </c>
      <c r="B1" s="159"/>
      <c r="C1" s="159"/>
      <c r="D1" s="159"/>
      <c r="E1" s="159"/>
      <c r="F1" s="159"/>
      <c r="G1" s="159"/>
      <c r="H1" s="158" t="s">
        <v>98</v>
      </c>
      <c r="I1" s="158"/>
      <c r="J1" s="158"/>
      <c r="K1" s="158"/>
      <c r="L1" s="158"/>
      <c r="M1" s="158"/>
      <c r="N1" s="158"/>
      <c r="O1" s="160" t="s">
        <v>97</v>
      </c>
      <c r="P1" s="160"/>
      <c r="Q1" s="160"/>
      <c r="R1" s="160"/>
      <c r="S1" s="160"/>
      <c r="T1" s="160"/>
      <c r="U1" s="160"/>
      <c r="V1" s="160"/>
      <c r="W1" s="160"/>
      <c r="X1" s="161" t="s">
        <v>105</v>
      </c>
      <c r="Y1" s="161"/>
      <c r="Z1" s="161"/>
      <c r="AA1" s="161"/>
      <c r="AB1" s="161"/>
      <c r="AC1" s="155" t="s">
        <v>108</v>
      </c>
      <c r="AD1" s="155"/>
      <c r="AE1" s="155"/>
      <c r="AF1" s="155"/>
      <c r="AG1" s="155"/>
      <c r="AH1" s="155"/>
      <c r="AI1" s="155"/>
      <c r="AJ1" s="157" t="s">
        <v>118</v>
      </c>
      <c r="AK1" s="157"/>
      <c r="AL1" s="157"/>
      <c r="AM1" s="157"/>
      <c r="AN1" s="157"/>
      <c r="AO1" s="156" t="s">
        <v>117</v>
      </c>
      <c r="AP1" s="156"/>
      <c r="AQ1" s="156"/>
      <c r="AR1" s="156"/>
    </row>
    <row r="2" spans="1:44" s="94" customFormat="1" ht="48" x14ac:dyDescent="0.2">
      <c r="A2" s="145" t="s">
        <v>2</v>
      </c>
      <c r="B2" s="146" t="s">
        <v>0</v>
      </c>
      <c r="C2" s="145" t="s">
        <v>19</v>
      </c>
      <c r="D2" s="145" t="s">
        <v>21</v>
      </c>
      <c r="E2" s="147" t="s">
        <v>24</v>
      </c>
      <c r="F2" s="147" t="s">
        <v>27</v>
      </c>
      <c r="G2" s="145" t="s">
        <v>31</v>
      </c>
      <c r="H2" s="145" t="s">
        <v>14</v>
      </c>
      <c r="I2" s="145" t="s">
        <v>17</v>
      </c>
      <c r="J2" s="145" t="s">
        <v>128</v>
      </c>
      <c r="K2" s="145" t="s">
        <v>22</v>
      </c>
      <c r="L2" s="145" t="s">
        <v>26</v>
      </c>
      <c r="M2" s="145" t="s">
        <v>29</v>
      </c>
      <c r="N2" s="146" t="s">
        <v>32</v>
      </c>
      <c r="O2" s="145" t="s">
        <v>100</v>
      </c>
      <c r="P2" s="145" t="s">
        <v>102</v>
      </c>
      <c r="Q2" s="145" t="s">
        <v>39</v>
      </c>
      <c r="R2" s="145" t="s">
        <v>41</v>
      </c>
      <c r="S2" s="145" t="s">
        <v>44</v>
      </c>
      <c r="T2" s="145" t="s">
        <v>48</v>
      </c>
      <c r="U2" s="145" t="s">
        <v>103</v>
      </c>
      <c r="V2" s="145" t="s">
        <v>104</v>
      </c>
      <c r="W2" s="145" t="s">
        <v>51</v>
      </c>
      <c r="X2" s="145" t="s">
        <v>106</v>
      </c>
      <c r="Y2" s="145" t="s">
        <v>107</v>
      </c>
      <c r="Z2" s="145" t="s">
        <v>122</v>
      </c>
      <c r="AA2" s="145" t="s">
        <v>46</v>
      </c>
      <c r="AB2" s="145" t="s">
        <v>53</v>
      </c>
      <c r="AC2" s="145" t="s">
        <v>109</v>
      </c>
      <c r="AD2" s="145" t="s">
        <v>110</v>
      </c>
      <c r="AE2" s="145" t="s">
        <v>57</v>
      </c>
      <c r="AF2" s="145" t="s">
        <v>58</v>
      </c>
      <c r="AG2" s="145" t="s">
        <v>59</v>
      </c>
      <c r="AH2" s="145" t="s">
        <v>111</v>
      </c>
      <c r="AI2" s="145" t="s">
        <v>112</v>
      </c>
      <c r="AJ2" s="145" t="s">
        <v>119</v>
      </c>
      <c r="AK2" s="145" t="s">
        <v>120</v>
      </c>
      <c r="AL2" s="145" t="s">
        <v>121</v>
      </c>
      <c r="AM2" s="145" t="s">
        <v>80</v>
      </c>
      <c r="AN2" s="145" t="s">
        <v>85</v>
      </c>
      <c r="AO2" s="145" t="s">
        <v>113</v>
      </c>
      <c r="AP2" s="145" t="s">
        <v>114</v>
      </c>
      <c r="AQ2" s="145" t="s">
        <v>115</v>
      </c>
      <c r="AR2" s="145" t="s">
        <v>116</v>
      </c>
    </row>
    <row r="3" spans="1:44" s="119" customFormat="1" ht="64" x14ac:dyDescent="0.2">
      <c r="A3" s="148">
        <v>2023289</v>
      </c>
      <c r="B3" s="149">
        <v>45382</v>
      </c>
      <c r="C3" s="148"/>
      <c r="D3" s="148"/>
      <c r="E3" s="150" t="s">
        <v>25</v>
      </c>
      <c r="F3" s="150" t="s">
        <v>28</v>
      </c>
      <c r="G3" s="148">
        <v>29</v>
      </c>
      <c r="H3" s="148" t="s">
        <v>15</v>
      </c>
      <c r="I3" s="148" t="s">
        <v>18</v>
      </c>
      <c r="J3" s="148" t="s">
        <v>18</v>
      </c>
      <c r="K3" s="148" t="s">
        <v>23</v>
      </c>
      <c r="L3" s="148" t="s">
        <v>18</v>
      </c>
      <c r="M3" s="148" t="s">
        <v>30</v>
      </c>
      <c r="N3" s="149">
        <v>45324</v>
      </c>
      <c r="O3" s="148" t="s">
        <v>36</v>
      </c>
      <c r="P3" s="148" t="s">
        <v>101</v>
      </c>
      <c r="Q3" s="148" t="s">
        <v>40</v>
      </c>
      <c r="R3" s="148" t="s">
        <v>42</v>
      </c>
      <c r="S3" s="148" t="s">
        <v>45</v>
      </c>
      <c r="T3" s="148" t="s">
        <v>49</v>
      </c>
      <c r="U3" s="148" t="s">
        <v>50</v>
      </c>
      <c r="V3" s="148">
        <v>29</v>
      </c>
      <c r="W3" s="148" t="s">
        <v>52</v>
      </c>
      <c r="X3" s="148" t="s">
        <v>36</v>
      </c>
      <c r="Y3" s="148" t="s">
        <v>101</v>
      </c>
      <c r="Z3" s="148" t="s">
        <v>43</v>
      </c>
      <c r="AA3" s="148" t="s">
        <v>47</v>
      </c>
      <c r="AB3" s="148" t="s">
        <v>54</v>
      </c>
      <c r="AC3" s="151">
        <v>4</v>
      </c>
      <c r="AD3" s="148" t="s">
        <v>65</v>
      </c>
      <c r="AE3" s="148">
        <v>85381090</v>
      </c>
      <c r="AF3" s="148" t="s">
        <v>66</v>
      </c>
      <c r="AG3" s="151">
        <v>1</v>
      </c>
      <c r="AH3" s="148">
        <v>104138</v>
      </c>
      <c r="AI3" s="148"/>
      <c r="AJ3" s="152">
        <v>0.09</v>
      </c>
      <c r="AK3" s="152">
        <v>0.09</v>
      </c>
      <c r="AL3" s="153">
        <v>0.18</v>
      </c>
      <c r="AM3" s="148">
        <v>0.16</v>
      </c>
      <c r="AN3" s="148" t="s">
        <v>86</v>
      </c>
      <c r="AO3" s="148" t="s">
        <v>82</v>
      </c>
      <c r="AP3" s="148">
        <v>39079984529</v>
      </c>
      <c r="AQ3" s="148" t="s">
        <v>88</v>
      </c>
      <c r="AR3" s="148" t="s">
        <v>90</v>
      </c>
    </row>
    <row r="4" spans="1:44" ht="64" x14ac:dyDescent="0.2">
      <c r="A4" s="148">
        <v>2023290</v>
      </c>
      <c r="B4" s="149">
        <v>45383</v>
      </c>
      <c r="C4" s="154"/>
      <c r="D4" s="154"/>
      <c r="E4" s="150" t="s">
        <v>25</v>
      </c>
      <c r="F4" s="150" t="s">
        <v>127</v>
      </c>
      <c r="G4" s="148">
        <v>30</v>
      </c>
      <c r="H4" s="148" t="s">
        <v>15</v>
      </c>
      <c r="I4" s="148" t="s">
        <v>18</v>
      </c>
      <c r="J4" s="148" t="s">
        <v>18</v>
      </c>
      <c r="K4" s="148" t="s">
        <v>23</v>
      </c>
      <c r="L4" s="148" t="s">
        <v>18</v>
      </c>
      <c r="M4" s="148" t="s">
        <v>124</v>
      </c>
      <c r="N4" s="149">
        <v>40325</v>
      </c>
      <c r="O4" s="148" t="s">
        <v>36</v>
      </c>
      <c r="P4" s="148" t="s">
        <v>101</v>
      </c>
      <c r="Q4" s="148" t="s">
        <v>40</v>
      </c>
      <c r="R4" s="148" t="s">
        <v>125</v>
      </c>
      <c r="S4" s="148" t="s">
        <v>45</v>
      </c>
      <c r="T4" s="148" t="s">
        <v>49</v>
      </c>
      <c r="U4" s="148" t="s">
        <v>50</v>
      </c>
      <c r="V4" s="148">
        <v>30</v>
      </c>
      <c r="W4" s="148" t="s">
        <v>52</v>
      </c>
      <c r="X4" s="148" t="s">
        <v>36</v>
      </c>
      <c r="Y4" s="148" t="s">
        <v>101</v>
      </c>
      <c r="Z4" s="148" t="s">
        <v>43</v>
      </c>
      <c r="AA4" s="148" t="s">
        <v>47</v>
      </c>
      <c r="AB4" s="148" t="s">
        <v>54</v>
      </c>
      <c r="AC4" s="151">
        <v>1</v>
      </c>
      <c r="AD4" s="148" t="s">
        <v>65</v>
      </c>
      <c r="AE4" s="148">
        <v>85381091</v>
      </c>
      <c r="AF4" s="148" t="s">
        <v>66</v>
      </c>
      <c r="AG4" s="151">
        <v>1</v>
      </c>
      <c r="AH4" s="148">
        <v>150138</v>
      </c>
      <c r="AI4" s="148"/>
      <c r="AJ4" s="152">
        <v>0.1</v>
      </c>
      <c r="AK4" s="152">
        <v>0.09</v>
      </c>
      <c r="AL4" s="153">
        <v>0.18</v>
      </c>
      <c r="AM4" s="148">
        <v>0.2</v>
      </c>
      <c r="AN4" s="148" t="s">
        <v>86</v>
      </c>
      <c r="AO4" s="148" t="s">
        <v>82</v>
      </c>
      <c r="AP4" s="148">
        <v>39079984530</v>
      </c>
      <c r="AQ4" s="148" t="s">
        <v>88</v>
      </c>
      <c r="AR4" s="148" t="s">
        <v>126</v>
      </c>
    </row>
    <row r="5" spans="1:44" x14ac:dyDescent="0.2">
      <c r="A5" s="106"/>
      <c r="B5" s="107"/>
      <c r="C5" s="106"/>
      <c r="D5" s="106"/>
      <c r="E5" s="134"/>
      <c r="F5" s="134"/>
      <c r="G5" s="110"/>
      <c r="H5" s="111"/>
      <c r="I5" s="106"/>
      <c r="J5" s="106"/>
      <c r="K5" s="106"/>
      <c r="L5" s="106"/>
      <c r="M5" s="106"/>
      <c r="N5" s="132"/>
      <c r="O5" s="111"/>
      <c r="P5" s="106"/>
      <c r="Q5" s="106"/>
      <c r="R5" s="106"/>
      <c r="S5" s="106"/>
      <c r="T5" s="106"/>
      <c r="U5" s="106"/>
      <c r="V5" s="106"/>
      <c r="W5" s="110"/>
      <c r="X5" s="111"/>
      <c r="Y5" s="106"/>
      <c r="Z5" s="106"/>
      <c r="AA5" s="106"/>
      <c r="AB5" s="110"/>
      <c r="AC5" s="136"/>
      <c r="AD5" s="106"/>
      <c r="AE5" s="106"/>
      <c r="AF5" s="106"/>
      <c r="AG5" s="138"/>
      <c r="AH5" s="106"/>
      <c r="AI5" s="106"/>
      <c r="AJ5" s="111"/>
      <c r="AK5" s="106"/>
      <c r="AL5" s="106"/>
      <c r="AM5" s="106"/>
      <c r="AN5" s="110"/>
      <c r="AO5" s="111"/>
      <c r="AP5" s="106"/>
      <c r="AQ5" s="106"/>
      <c r="AR5" s="110"/>
    </row>
  </sheetData>
  <mergeCells count="7">
    <mergeCell ref="AC1:AI1"/>
    <mergeCell ref="AO1:AR1"/>
    <mergeCell ref="AJ1:AN1"/>
    <mergeCell ref="H1:N1"/>
    <mergeCell ref="A1:G1"/>
    <mergeCell ref="O1:W1"/>
    <mergeCell ref="X1:AB1"/>
  </mergeCells>
  <phoneticPr fontId="2" type="noConversion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D5045-27A1-41C6-B83E-2D70BC7D87AD}">
  <sheetPr codeName="Sheet6">
    <pageSetUpPr fitToPage="1"/>
  </sheetPr>
  <dimension ref="A1:AF68"/>
  <sheetViews>
    <sheetView showGridLines="0" tabSelected="1" zoomScale="40" zoomScaleNormal="40" workbookViewId="0">
      <selection activeCell="AA22" sqref="AA22"/>
    </sheetView>
  </sheetViews>
  <sheetFormatPr baseColWidth="10" defaultColWidth="9" defaultRowHeight="14" x14ac:dyDescent="0.15"/>
  <cols>
    <col min="1" max="1" width="12.5" style="83" customWidth="1"/>
    <col min="2" max="2" width="22.83203125" style="83" customWidth="1"/>
    <col min="3" max="3" width="3.83203125" style="83" customWidth="1"/>
    <col min="4" max="4" width="9.5" style="83" customWidth="1"/>
    <col min="5" max="5" width="46.5" style="83" customWidth="1"/>
    <col min="6" max="6" width="21" style="83" customWidth="1"/>
    <col min="7" max="7" width="19.1640625" style="83" customWidth="1"/>
    <col min="8" max="8" width="16" style="83" customWidth="1"/>
    <col min="9" max="9" width="30" style="83" customWidth="1"/>
    <col min="10" max="10" width="34.5" style="83" customWidth="1"/>
    <col min="11" max="11" width="16.5" style="83" hidden="1" customWidth="1"/>
    <col min="12" max="12" width="36" style="83" customWidth="1"/>
    <col min="13" max="13" width="12" style="83" bestFit="1" customWidth="1"/>
    <col min="14" max="14" width="10.83203125" style="83" bestFit="1" customWidth="1"/>
    <col min="15" max="15" width="24.5" style="83" customWidth="1"/>
    <col min="16" max="16" width="16.33203125" style="83" bestFit="1" customWidth="1"/>
    <col min="17" max="16384" width="9" style="83"/>
  </cols>
  <sheetData>
    <row r="1" spans="1:32" x14ac:dyDescent="0.15">
      <c r="A1" s="168" t="s">
        <v>4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70"/>
    </row>
    <row r="2" spans="1:32" x14ac:dyDescent="0.15">
      <c r="A2" s="171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3"/>
    </row>
    <row r="3" spans="1:32" ht="33.75" customHeight="1" x14ac:dyDescent="0.15">
      <c r="A3" s="174" t="s">
        <v>5</v>
      </c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6"/>
    </row>
    <row r="4" spans="1:32" ht="33.75" customHeight="1" x14ac:dyDescent="0.15">
      <c r="A4" s="174" t="s">
        <v>6</v>
      </c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6"/>
    </row>
    <row r="5" spans="1:32" ht="33.75" customHeight="1" x14ac:dyDescent="0.15">
      <c r="A5" s="174" t="s">
        <v>7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6"/>
    </row>
    <row r="6" spans="1:32" ht="33.75" customHeight="1" x14ac:dyDescent="0.15">
      <c r="A6" s="174" t="s">
        <v>8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6"/>
    </row>
    <row r="7" spans="1:32" ht="33.75" customHeight="1" x14ac:dyDescent="0.15">
      <c r="A7" s="174" t="s">
        <v>9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6"/>
    </row>
    <row r="8" spans="1:32" ht="33.75" customHeight="1" thickBot="1" x14ac:dyDescent="0.2">
      <c r="A8" s="174" t="s">
        <v>10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6"/>
    </row>
    <row r="9" spans="1:32" ht="33" thickBot="1" x14ac:dyDescent="0.2">
      <c r="A9" s="177" t="s">
        <v>11</v>
      </c>
      <c r="B9" s="178"/>
      <c r="C9" s="178"/>
      <c r="D9" s="178"/>
      <c r="E9" s="178"/>
      <c r="F9" s="178"/>
      <c r="G9" s="178"/>
      <c r="H9" s="178"/>
      <c r="I9" s="178"/>
      <c r="J9" s="178"/>
      <c r="K9" s="179" t="s">
        <v>12</v>
      </c>
      <c r="L9" s="180"/>
    </row>
    <row r="10" spans="1:32" s="84" customFormat="1" ht="36" customHeight="1" x14ac:dyDescent="0.15">
      <c r="A10" s="1" t="s">
        <v>13</v>
      </c>
      <c r="B10" s="17"/>
      <c r="C10" s="3" t="s">
        <v>3</v>
      </c>
      <c r="D10" s="181">
        <v>2023290</v>
      </c>
      <c r="E10" s="182"/>
      <c r="F10" s="182"/>
      <c r="G10" s="183"/>
      <c r="H10" s="1" t="s">
        <v>14</v>
      </c>
      <c r="I10" s="2"/>
      <c r="J10" s="184" t="s">
        <v>15</v>
      </c>
      <c r="K10" s="185"/>
      <c r="L10" s="186"/>
    </row>
    <row r="11" spans="1:32" s="84" customFormat="1" ht="30" customHeight="1" x14ac:dyDescent="0.2">
      <c r="A11" s="1" t="s">
        <v>16</v>
      </c>
      <c r="B11" s="17"/>
      <c r="C11" s="3" t="s">
        <v>3</v>
      </c>
      <c r="D11" s="162">
        <v>45295</v>
      </c>
      <c r="E11" s="163"/>
      <c r="F11" s="163"/>
      <c r="G11" s="164"/>
      <c r="H11" s="1" t="s">
        <v>17</v>
      </c>
      <c r="I11" s="2"/>
      <c r="J11" s="165" t="s">
        <v>18</v>
      </c>
      <c r="K11" s="166"/>
      <c r="L11" s="167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 s="84" customFormat="1" ht="25" customHeight="1" x14ac:dyDescent="0.2">
      <c r="A12" s="1" t="s">
        <v>19</v>
      </c>
      <c r="B12" s="17"/>
      <c r="C12" s="3" t="s">
        <v>3</v>
      </c>
      <c r="D12" s="187" t="s">
        <v>123</v>
      </c>
      <c r="E12" s="188"/>
      <c r="F12" s="188"/>
      <c r="G12" s="189"/>
      <c r="H12" s="1" t="s">
        <v>20</v>
      </c>
      <c r="I12" s="2"/>
      <c r="J12" s="190" t="s">
        <v>18</v>
      </c>
      <c r="K12" s="191"/>
      <c r="L12" s="19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32" s="84" customFormat="1" ht="25" customHeight="1" x14ac:dyDescent="0.2">
      <c r="A13" s="1" t="s">
        <v>21</v>
      </c>
      <c r="B13" s="17"/>
      <c r="C13" s="3" t="s">
        <v>3</v>
      </c>
      <c r="D13" s="193" t="s">
        <v>123</v>
      </c>
      <c r="E13" s="194"/>
      <c r="F13" s="194"/>
      <c r="G13" s="195"/>
      <c r="H13" s="1" t="s">
        <v>22</v>
      </c>
      <c r="I13" s="2"/>
      <c r="J13" s="196" t="s">
        <v>23</v>
      </c>
      <c r="K13" s="197"/>
      <c r="L13" s="198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 s="84" customFormat="1" ht="25" customHeight="1" x14ac:dyDescent="0.2">
      <c r="A14" s="1" t="s">
        <v>24</v>
      </c>
      <c r="B14" s="17"/>
      <c r="C14" s="3" t="s">
        <v>3</v>
      </c>
      <c r="D14" s="187" t="s">
        <v>25</v>
      </c>
      <c r="E14" s="188"/>
      <c r="F14" s="188"/>
      <c r="G14" s="189"/>
      <c r="H14" s="199" t="s">
        <v>26</v>
      </c>
      <c r="I14" s="200"/>
      <c r="J14" s="199" t="s">
        <v>18</v>
      </c>
      <c r="K14" s="200"/>
      <c r="L14" s="201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32" s="84" customFormat="1" ht="25" customHeight="1" x14ac:dyDescent="0.2">
      <c r="A15" s="1" t="s">
        <v>27</v>
      </c>
      <c r="B15" s="17"/>
      <c r="C15" s="3" t="s">
        <v>3</v>
      </c>
      <c r="D15" s="196" t="s">
        <v>127</v>
      </c>
      <c r="E15" s="197"/>
      <c r="F15" s="197"/>
      <c r="G15" s="198"/>
      <c r="H15" s="202" t="s">
        <v>29</v>
      </c>
      <c r="I15" s="202"/>
      <c r="J15" s="203" t="s">
        <v>124</v>
      </c>
      <c r="K15" s="204"/>
      <c r="L15" s="205"/>
      <c r="P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32" s="84" customFormat="1" ht="25" customHeight="1" thickBot="1" x14ac:dyDescent="0.25">
      <c r="A16" s="8" t="s">
        <v>31</v>
      </c>
      <c r="B16" s="114"/>
      <c r="C16" s="3" t="s">
        <v>3</v>
      </c>
      <c r="D16" s="206">
        <v>30</v>
      </c>
      <c r="E16" s="207"/>
      <c r="F16" s="207"/>
      <c r="G16" s="208"/>
      <c r="H16" s="209" t="s">
        <v>32</v>
      </c>
      <c r="I16" s="209"/>
      <c r="J16" s="210" t="s">
        <v>129</v>
      </c>
      <c r="K16" s="211"/>
      <c r="L16" s="212"/>
      <c r="P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1:32" s="84" customFormat="1" ht="25" customHeight="1" thickBot="1" x14ac:dyDescent="0.25">
      <c r="A17" s="213" t="s">
        <v>33</v>
      </c>
      <c r="B17" s="214"/>
      <c r="C17" s="214"/>
      <c r="D17" s="214"/>
      <c r="E17" s="214"/>
      <c r="F17" s="214"/>
      <c r="G17" s="215"/>
      <c r="H17" s="9" t="s">
        <v>34</v>
      </c>
      <c r="I17" s="10"/>
      <c r="J17" s="9"/>
      <c r="K17" s="11"/>
      <c r="L17" s="113"/>
      <c r="P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1:32" s="84" customFormat="1" ht="25" customHeight="1" x14ac:dyDescent="0.2">
      <c r="A18" s="12" t="s">
        <v>35</v>
      </c>
      <c r="B18" s="6"/>
      <c r="C18" s="13" t="s">
        <v>3</v>
      </c>
      <c r="D18" s="216" t="s">
        <v>36</v>
      </c>
      <c r="E18" s="217"/>
      <c r="F18" s="217"/>
      <c r="G18" s="218"/>
      <c r="H18" s="219" t="s">
        <v>106</v>
      </c>
      <c r="I18" s="220"/>
      <c r="J18" s="221" t="s">
        <v>36</v>
      </c>
      <c r="K18" s="222"/>
      <c r="L18" s="223"/>
      <c r="O18" s="85"/>
      <c r="P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2" s="84" customFormat="1" ht="25" customHeight="1" x14ac:dyDescent="0.2">
      <c r="A19" s="12" t="s">
        <v>37</v>
      </c>
      <c r="B19" s="6"/>
      <c r="C19" s="13" t="s">
        <v>3</v>
      </c>
      <c r="D19" s="224" t="s">
        <v>101</v>
      </c>
      <c r="E19" s="225"/>
      <c r="F19" s="225"/>
      <c r="G19" s="226"/>
      <c r="H19" s="219" t="s">
        <v>38</v>
      </c>
      <c r="I19" s="220"/>
      <c r="J19" s="224" t="s">
        <v>101</v>
      </c>
      <c r="K19" s="225"/>
      <c r="L19" s="226"/>
      <c r="P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2" s="84" customFormat="1" ht="25" customHeight="1" x14ac:dyDescent="0.2">
      <c r="A20" s="12"/>
      <c r="B20" s="6"/>
      <c r="C20" s="13"/>
      <c r="D20" s="227"/>
      <c r="E20" s="225"/>
      <c r="F20" s="225"/>
      <c r="G20" s="226"/>
      <c r="H20" s="16"/>
      <c r="I20" s="17"/>
      <c r="J20" s="227"/>
      <c r="K20" s="225"/>
      <c r="L20" s="226"/>
      <c r="P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2" s="84" customFormat="1" ht="25" customHeight="1" x14ac:dyDescent="0.2">
      <c r="A21" s="12"/>
      <c r="B21" s="6"/>
      <c r="C21" s="13"/>
      <c r="D21" s="227"/>
      <c r="E21" s="225"/>
      <c r="F21" s="225"/>
      <c r="G21" s="226"/>
      <c r="H21" s="1"/>
      <c r="I21" s="17"/>
      <c r="J21" s="227"/>
      <c r="K21" s="225"/>
      <c r="L21" s="226"/>
      <c r="P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2" s="84" customFormat="1" ht="25" customHeight="1" x14ac:dyDescent="0.2">
      <c r="A22" s="12"/>
      <c r="B22" s="6"/>
      <c r="C22" s="13"/>
      <c r="D22" s="227"/>
      <c r="E22" s="225"/>
      <c r="F22" s="225"/>
      <c r="G22" s="226"/>
      <c r="H22" s="228"/>
      <c r="I22" s="229"/>
      <c r="J22" s="227"/>
      <c r="K22" s="225"/>
      <c r="L22" s="226"/>
      <c r="P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2" s="84" customFormat="1" ht="25" customHeight="1" x14ac:dyDescent="0.2">
      <c r="A23" s="12"/>
      <c r="B23" s="6"/>
      <c r="C23" s="13"/>
      <c r="D23" s="14"/>
      <c r="E23" s="14"/>
      <c r="F23" s="15"/>
      <c r="G23" s="2"/>
      <c r="H23" s="1"/>
      <c r="I23" s="17"/>
      <c r="J23" s="16"/>
      <c r="K23" s="15"/>
      <c r="L23" s="18"/>
      <c r="P23"/>
    </row>
    <row r="24" spans="1:32" s="84" customFormat="1" ht="25" customHeight="1" x14ac:dyDescent="0.2">
      <c r="A24" s="12" t="s">
        <v>39</v>
      </c>
      <c r="B24" s="6"/>
      <c r="C24" s="13" t="s">
        <v>3</v>
      </c>
      <c r="D24" s="230" t="s">
        <v>40</v>
      </c>
      <c r="E24" s="231"/>
      <c r="F24" s="231"/>
      <c r="G24" s="232"/>
      <c r="H24" s="19"/>
      <c r="I24" s="17"/>
      <c r="J24" s="233"/>
      <c r="K24" s="234"/>
      <c r="L24" s="235"/>
      <c r="P24"/>
    </row>
    <row r="25" spans="1:32" s="84" customFormat="1" ht="25" customHeight="1" x14ac:dyDescent="0.15">
      <c r="A25" s="12" t="s">
        <v>41</v>
      </c>
      <c r="B25" s="6"/>
      <c r="C25" s="13" t="s">
        <v>3</v>
      </c>
      <c r="D25" s="236" t="s">
        <v>125</v>
      </c>
      <c r="E25" s="237"/>
      <c r="F25" s="237"/>
      <c r="G25" s="238"/>
      <c r="H25" s="1"/>
      <c r="I25" s="17" t="s">
        <v>26</v>
      </c>
      <c r="J25" s="199" t="s">
        <v>43</v>
      </c>
      <c r="K25" s="200"/>
      <c r="L25" s="201"/>
    </row>
    <row r="26" spans="1:32" s="84" customFormat="1" ht="25" customHeight="1" x14ac:dyDescent="0.15">
      <c r="A26" s="12" t="s">
        <v>44</v>
      </c>
      <c r="B26" s="6"/>
      <c r="C26" s="13" t="s">
        <v>3</v>
      </c>
      <c r="D26" s="239" t="s">
        <v>45</v>
      </c>
      <c r="E26" s="240"/>
      <c r="F26" s="240"/>
      <c r="G26" s="241"/>
      <c r="H26" s="1"/>
      <c r="I26" s="17" t="s">
        <v>46</v>
      </c>
      <c r="J26" s="242" t="s">
        <v>47</v>
      </c>
      <c r="K26" s="243"/>
      <c r="L26" s="244"/>
    </row>
    <row r="27" spans="1:32" s="84" customFormat="1" ht="25" customHeight="1" x14ac:dyDescent="0.25">
      <c r="A27" s="20" t="s">
        <v>48</v>
      </c>
      <c r="B27" s="6"/>
      <c r="C27" s="13" t="s">
        <v>3</v>
      </c>
      <c r="D27" s="239" t="s">
        <v>49</v>
      </c>
      <c r="E27" s="240"/>
      <c r="F27" s="240"/>
      <c r="G27" s="241"/>
      <c r="H27" s="1"/>
      <c r="I27" s="17"/>
      <c r="J27" s="245"/>
      <c r="K27" s="246"/>
      <c r="L27" s="247"/>
    </row>
    <row r="28" spans="1:32" s="84" customFormat="1" ht="25" customHeight="1" x14ac:dyDescent="0.15">
      <c r="A28" s="12" t="s">
        <v>27</v>
      </c>
      <c r="B28" s="6"/>
      <c r="C28" s="13" t="s">
        <v>3</v>
      </c>
      <c r="D28" s="239" t="s">
        <v>50</v>
      </c>
      <c r="E28" s="240"/>
      <c r="F28" s="240"/>
      <c r="G28" s="241"/>
      <c r="H28" s="1"/>
      <c r="I28" s="22"/>
      <c r="J28" s="245"/>
      <c r="K28" s="246"/>
      <c r="L28" s="247"/>
      <c r="O28" s="86"/>
      <c r="Q28" s="87"/>
    </row>
    <row r="29" spans="1:32" s="84" customFormat="1" ht="25" customHeight="1" x14ac:dyDescent="0.15">
      <c r="A29" s="23" t="s">
        <v>31</v>
      </c>
      <c r="B29" s="14"/>
      <c r="C29" s="13" t="s">
        <v>3</v>
      </c>
      <c r="D29" s="21">
        <v>30</v>
      </c>
      <c r="E29" s="14"/>
      <c r="F29" s="251" t="s">
        <v>52</v>
      </c>
      <c r="G29" s="252"/>
      <c r="H29" s="24"/>
      <c r="I29" s="25"/>
      <c r="J29" s="248"/>
      <c r="K29" s="249"/>
      <c r="L29" s="250"/>
      <c r="P29" s="88"/>
    </row>
    <row r="30" spans="1:32" s="84" customFormat="1" ht="49.5" customHeight="1" thickBot="1" x14ac:dyDescent="0.2">
      <c r="A30" s="255"/>
      <c r="B30" s="256"/>
      <c r="C30" s="256"/>
      <c r="D30" s="256"/>
      <c r="E30" s="256"/>
      <c r="F30" s="256"/>
      <c r="G30" s="257"/>
      <c r="H30" s="117" t="s">
        <v>53</v>
      </c>
      <c r="I30" s="117"/>
      <c r="J30" s="258" t="s">
        <v>54</v>
      </c>
      <c r="K30" s="259"/>
      <c r="L30" s="260"/>
      <c r="P30" s="88"/>
    </row>
    <row r="31" spans="1:32" s="89" customFormat="1" ht="25" customHeight="1" x14ac:dyDescent="0.2">
      <c r="A31" s="115" t="s">
        <v>55</v>
      </c>
      <c r="B31" s="261" t="s">
        <v>56</v>
      </c>
      <c r="C31" s="262"/>
      <c r="D31" s="262"/>
      <c r="E31" s="263"/>
      <c r="F31" s="115" t="s">
        <v>57</v>
      </c>
      <c r="G31" s="115" t="s">
        <v>58</v>
      </c>
      <c r="H31" s="115" t="s">
        <v>59</v>
      </c>
      <c r="I31" s="115" t="s">
        <v>60</v>
      </c>
      <c r="J31" s="115" t="s">
        <v>61</v>
      </c>
      <c r="K31" s="26" t="s">
        <v>1</v>
      </c>
      <c r="L31" s="115" t="s">
        <v>62</v>
      </c>
      <c r="O31"/>
      <c r="P31" s="90"/>
    </row>
    <row r="32" spans="1:32" s="84" customFormat="1" ht="25" customHeight="1" thickBot="1" x14ac:dyDescent="0.2">
      <c r="A32" s="118"/>
      <c r="B32" s="27"/>
      <c r="C32" s="28"/>
      <c r="D32" s="29"/>
      <c r="E32" s="30"/>
      <c r="F32" s="31"/>
      <c r="G32" s="31"/>
      <c r="H32" s="31"/>
      <c r="I32" s="32" t="s">
        <v>63</v>
      </c>
      <c r="J32" s="32" t="s">
        <v>63</v>
      </c>
      <c r="K32" s="31"/>
      <c r="L32" s="116" t="s">
        <v>64</v>
      </c>
    </row>
    <row r="33" spans="1:28" s="84" customFormat="1" ht="25" customHeight="1" x14ac:dyDescent="0.15">
      <c r="A33" s="140">
        <v>1</v>
      </c>
      <c r="B33" s="103" t="s">
        <v>65</v>
      </c>
      <c r="C33" s="104"/>
      <c r="D33" s="104"/>
      <c r="E33" s="141"/>
      <c r="F33" s="140">
        <v>85381091</v>
      </c>
      <c r="G33" s="142" t="s">
        <v>66</v>
      </c>
      <c r="H33" s="143">
        <v>1</v>
      </c>
      <c r="I33" s="144">
        <v>150138</v>
      </c>
      <c r="J33" s="97"/>
      <c r="K33" s="98"/>
      <c r="L33" s="264">
        <f>H33*I33</f>
        <v>150138</v>
      </c>
    </row>
    <row r="34" spans="1:28" s="84" customFormat="1" ht="25" customHeight="1" x14ac:dyDescent="0.15">
      <c r="A34" s="122"/>
      <c r="B34" s="120"/>
      <c r="C34" s="121"/>
      <c r="D34" s="121"/>
      <c r="E34" s="123"/>
      <c r="F34" s="124"/>
      <c r="G34" s="125"/>
      <c r="H34" s="95"/>
      <c r="I34" s="100"/>
      <c r="J34" s="98"/>
      <c r="K34" s="102"/>
      <c r="L34" s="265"/>
    </row>
    <row r="35" spans="1:28" s="84" customFormat="1" ht="25" customHeight="1" x14ac:dyDescent="0.15">
      <c r="A35" s="122"/>
      <c r="B35" s="120"/>
      <c r="C35" s="121"/>
      <c r="D35" s="121"/>
      <c r="E35" s="123"/>
      <c r="F35" s="124"/>
      <c r="G35" s="125"/>
      <c r="H35" s="95"/>
      <c r="I35" s="100"/>
      <c r="J35" s="98"/>
      <c r="K35" s="102"/>
      <c r="L35" s="265"/>
    </row>
    <row r="36" spans="1:28" s="84" customFormat="1" ht="25" customHeight="1" x14ac:dyDescent="0.15">
      <c r="A36" s="122"/>
      <c r="B36" s="120"/>
      <c r="C36" s="121"/>
      <c r="D36" s="121"/>
      <c r="E36" s="123"/>
      <c r="F36" s="124"/>
      <c r="G36" s="125"/>
      <c r="H36" s="95"/>
      <c r="I36" s="100"/>
      <c r="J36" s="98"/>
      <c r="K36" s="102"/>
      <c r="L36" s="265"/>
    </row>
    <row r="37" spans="1:28" s="84" customFormat="1" ht="25" customHeight="1" x14ac:dyDescent="0.15">
      <c r="A37" s="122"/>
      <c r="B37" s="120"/>
      <c r="C37" s="121"/>
      <c r="D37" s="121"/>
      <c r="E37" s="123"/>
      <c r="F37" s="124"/>
      <c r="G37" s="125"/>
      <c r="H37" s="95"/>
      <c r="I37" s="100"/>
      <c r="J37" s="98"/>
      <c r="K37" s="102"/>
      <c r="L37" s="265"/>
    </row>
    <row r="38" spans="1:28" s="84" customFormat="1" ht="25" customHeight="1" x14ac:dyDescent="0.15">
      <c r="A38" s="122"/>
      <c r="B38" s="120"/>
      <c r="C38" s="121"/>
      <c r="D38" s="121"/>
      <c r="E38" s="123"/>
      <c r="F38" s="124"/>
      <c r="G38" s="125"/>
      <c r="H38" s="95"/>
      <c r="I38" s="100"/>
      <c r="J38" s="98"/>
      <c r="K38" s="102"/>
      <c r="L38" s="265"/>
    </row>
    <row r="39" spans="1:28" s="84" customFormat="1" ht="25" customHeight="1" x14ac:dyDescent="0.15">
      <c r="A39" s="122"/>
      <c r="B39" s="120"/>
      <c r="C39" s="121"/>
      <c r="D39" s="121"/>
      <c r="E39" s="123"/>
      <c r="F39" s="124"/>
      <c r="G39" s="125"/>
      <c r="H39" s="95"/>
      <c r="I39" s="100"/>
      <c r="J39" s="98"/>
      <c r="K39" s="102"/>
      <c r="L39" s="265"/>
    </row>
    <row r="40" spans="1:28" s="84" customFormat="1" ht="25" customHeight="1" x14ac:dyDescent="0.15">
      <c r="A40" s="122"/>
      <c r="B40" s="120"/>
      <c r="C40" s="121"/>
      <c r="D40" s="121"/>
      <c r="E40" s="123"/>
      <c r="F40" s="124"/>
      <c r="G40" s="125"/>
      <c r="H40" s="95"/>
      <c r="I40" s="100"/>
      <c r="J40" s="98"/>
      <c r="K40" s="102"/>
      <c r="L40" s="265"/>
    </row>
    <row r="41" spans="1:28" s="84" customFormat="1" ht="25" customHeight="1" thickBot="1" x14ac:dyDescent="0.2">
      <c r="A41" s="126"/>
      <c r="B41" s="127"/>
      <c r="C41" s="128"/>
      <c r="D41" s="128"/>
      <c r="E41" s="129"/>
      <c r="F41" s="130"/>
      <c r="G41" s="131"/>
      <c r="H41" s="96"/>
      <c r="I41" s="101"/>
      <c r="J41" s="99"/>
      <c r="K41" s="102"/>
      <c r="L41" s="266"/>
    </row>
    <row r="42" spans="1:28" s="84" customFormat="1" ht="25" customHeight="1" thickBot="1" x14ac:dyDescent="0.2">
      <c r="A42" s="33"/>
      <c r="B42" s="267" t="s">
        <v>67</v>
      </c>
      <c r="C42" s="268"/>
      <c r="D42" s="268"/>
      <c r="E42" s="269"/>
      <c r="F42" s="34"/>
      <c r="G42" s="35">
        <f>SUM(G33:G41)</f>
        <v>0</v>
      </c>
      <c r="H42" s="35"/>
      <c r="I42" s="35"/>
      <c r="J42" s="36"/>
      <c r="K42" s="35"/>
      <c r="L42" s="37">
        <f>SUM(L33:L41)</f>
        <v>150138</v>
      </c>
    </row>
    <row r="43" spans="1:28" s="84" customFormat="1" ht="25" customHeight="1" thickBot="1" x14ac:dyDescent="0.2">
      <c r="A43" s="270" t="s">
        <v>68</v>
      </c>
      <c r="B43" s="271"/>
      <c r="C43" s="271"/>
      <c r="D43" s="271"/>
      <c r="E43" s="271"/>
      <c r="F43" s="272"/>
      <c r="G43" s="39" t="s">
        <v>69</v>
      </c>
      <c r="H43" s="40"/>
      <c r="I43" s="40"/>
      <c r="J43" s="41"/>
      <c r="K43" s="41"/>
      <c r="L43" s="42">
        <f>L42</f>
        <v>150138</v>
      </c>
    </row>
    <row r="44" spans="1:28" s="84" customFormat="1" ht="25" customHeight="1" x14ac:dyDescent="0.2">
      <c r="A44" s="103"/>
      <c r="B44" s="104"/>
      <c r="C44" s="104"/>
      <c r="D44" s="104"/>
      <c r="E44" s="104"/>
      <c r="F44" s="105"/>
      <c r="G44" s="7" t="s">
        <v>70</v>
      </c>
      <c r="H44" s="15"/>
      <c r="I44" s="15"/>
      <c r="J44" s="15"/>
      <c r="K44" s="43"/>
      <c r="L44" s="44"/>
    </row>
    <row r="45" spans="1:28" s="84" customFormat="1" ht="25" customHeight="1" x14ac:dyDescent="0.2">
      <c r="A45" s="273">
        <f>L53-L42-L52</f>
        <v>30027.599999999988</v>
      </c>
      <c r="B45" s="274"/>
      <c r="C45" s="274"/>
      <c r="D45" s="274"/>
      <c r="E45" s="274"/>
      <c r="F45" s="275"/>
      <c r="G45" s="7" t="s">
        <v>71</v>
      </c>
      <c r="H45" s="15"/>
      <c r="I45" s="15"/>
      <c r="J45" s="15"/>
      <c r="K45" s="43"/>
      <c r="L45" s="44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4" customFormat="1" ht="25" customHeight="1" thickBot="1" x14ac:dyDescent="0.25">
      <c r="A46" s="273"/>
      <c r="B46" s="274"/>
      <c r="C46" s="274"/>
      <c r="D46" s="274"/>
      <c r="E46" s="274"/>
      <c r="F46" s="275"/>
      <c r="G46" s="7" t="s">
        <v>72</v>
      </c>
      <c r="H46" s="15"/>
      <c r="I46" s="15"/>
      <c r="J46" s="15"/>
      <c r="K46" s="43"/>
      <c r="L46" s="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4" customFormat="1" ht="25" customHeight="1" thickBot="1" x14ac:dyDescent="0.25">
      <c r="A47" s="47"/>
      <c r="B47" s="48"/>
      <c r="C47" s="49"/>
      <c r="D47" s="50"/>
      <c r="E47" s="50"/>
      <c r="F47" s="51"/>
      <c r="G47" s="52" t="s">
        <v>73</v>
      </c>
      <c r="H47" s="15"/>
      <c r="I47" s="15"/>
      <c r="J47" s="15"/>
      <c r="K47" s="43"/>
      <c r="L47" s="53">
        <f>SUM(L43:L46)</f>
        <v>150138</v>
      </c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4" customFormat="1" ht="25" customHeight="1" thickBot="1" x14ac:dyDescent="0.25">
      <c r="A48" s="38" t="s">
        <v>74</v>
      </c>
      <c r="B48" s="54"/>
      <c r="C48" s="55"/>
      <c r="D48" s="56"/>
      <c r="E48" s="57"/>
      <c r="F48" s="58"/>
      <c r="G48" s="7" t="s">
        <v>75</v>
      </c>
      <c r="H48" s="7"/>
      <c r="I48" s="7"/>
      <c r="J48" s="43">
        <v>0.1</v>
      </c>
      <c r="K48" s="43"/>
      <c r="L48" s="44">
        <f>L47*J48</f>
        <v>15013.800000000001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4" customFormat="1" ht="83.25" customHeight="1" x14ac:dyDescent="0.2">
      <c r="A49" s="276">
        <f>L53</f>
        <v>180165.8</v>
      </c>
      <c r="B49" s="277"/>
      <c r="C49" s="277"/>
      <c r="D49" s="277"/>
      <c r="E49" s="277"/>
      <c r="F49" s="278"/>
      <c r="G49" s="7" t="s">
        <v>76</v>
      </c>
      <c r="H49" s="7"/>
      <c r="I49" s="7"/>
      <c r="J49" s="43">
        <v>0.09</v>
      </c>
      <c r="K49" s="43"/>
      <c r="L49" s="44">
        <f>L48</f>
        <v>15013.800000000001</v>
      </c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4" customFormat="1" ht="25" customHeight="1" x14ac:dyDescent="0.2">
      <c r="A50" s="279"/>
      <c r="B50" s="280"/>
      <c r="C50" s="280"/>
      <c r="D50" s="280"/>
      <c r="E50" s="280"/>
      <c r="F50" s="281"/>
      <c r="G50" s="7" t="s">
        <v>77</v>
      </c>
      <c r="H50" s="7"/>
      <c r="I50" s="7"/>
      <c r="J50" s="59">
        <v>0.18</v>
      </c>
      <c r="K50" s="59"/>
      <c r="L50" s="53">
        <v>0</v>
      </c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4" customFormat="1" ht="25" customHeight="1" thickBot="1" x14ac:dyDescent="0.25">
      <c r="A51" s="282"/>
      <c r="B51" s="283"/>
      <c r="C51" s="283"/>
      <c r="D51" s="283"/>
      <c r="E51" s="283"/>
      <c r="F51" s="284"/>
      <c r="G51" s="52" t="s">
        <v>78</v>
      </c>
      <c r="H51" s="60"/>
      <c r="I51" s="60"/>
      <c r="J51" s="60"/>
      <c r="K51" s="60"/>
      <c r="L51" s="61"/>
      <c r="M51" s="9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4" customFormat="1" ht="25" customHeight="1" thickBot="1" x14ac:dyDescent="0.25">
      <c r="A52" s="62" t="s">
        <v>79</v>
      </c>
      <c r="B52" s="54"/>
      <c r="C52" s="54"/>
      <c r="D52" s="63"/>
      <c r="E52" s="63"/>
      <c r="F52" s="58"/>
      <c r="G52" s="64" t="s">
        <v>80</v>
      </c>
      <c r="H52" s="60"/>
      <c r="I52" s="60"/>
      <c r="J52" s="64"/>
      <c r="K52" s="64"/>
      <c r="L52" s="65">
        <v>0.2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4" customFormat="1" ht="25" customHeight="1" thickBot="1" x14ac:dyDescent="0.25">
      <c r="A53" s="1" t="s">
        <v>81</v>
      </c>
      <c r="B53" s="2"/>
      <c r="C53" s="2" t="s">
        <v>3</v>
      </c>
      <c r="D53" s="285" t="s">
        <v>82</v>
      </c>
      <c r="E53" s="285"/>
      <c r="F53" s="286"/>
      <c r="G53" s="66" t="s">
        <v>83</v>
      </c>
      <c r="H53" s="66"/>
      <c r="I53" s="66"/>
      <c r="J53" s="66"/>
      <c r="K53" s="66"/>
      <c r="L53" s="67">
        <f>L47+L50+L48+L49+L52</f>
        <v>180165.8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4" customFormat="1" ht="25" customHeight="1" thickBot="1" x14ac:dyDescent="0.3">
      <c r="A54" s="1" t="s">
        <v>84</v>
      </c>
      <c r="B54" s="2"/>
      <c r="C54" s="2" t="s">
        <v>3</v>
      </c>
      <c r="D54" s="253">
        <v>39079984530</v>
      </c>
      <c r="E54" s="253"/>
      <c r="F54" s="254"/>
      <c r="G54" s="66" t="s">
        <v>85</v>
      </c>
      <c r="H54" s="63"/>
      <c r="I54" s="63"/>
      <c r="J54" s="68" t="s">
        <v>86</v>
      </c>
      <c r="K54" s="68"/>
      <c r="L54" s="69">
        <v>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4" customFormat="1" ht="25" customHeight="1" thickBot="1" x14ac:dyDescent="0.25">
      <c r="A55" s="1" t="s">
        <v>87</v>
      </c>
      <c r="B55" s="2"/>
      <c r="C55" s="2" t="s">
        <v>3</v>
      </c>
      <c r="D55" s="295" t="s">
        <v>88</v>
      </c>
      <c r="E55" s="295"/>
      <c r="F55" s="296"/>
      <c r="G55" s="70"/>
      <c r="H55" s="70"/>
      <c r="I55" s="70"/>
      <c r="J55" s="70"/>
      <c r="K55" s="70"/>
      <c r="L55" s="71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4" customFormat="1" ht="25" customHeight="1" x14ac:dyDescent="0.2">
      <c r="A56" s="1" t="s">
        <v>89</v>
      </c>
      <c r="B56" s="2"/>
      <c r="C56" s="2" t="s">
        <v>3</v>
      </c>
      <c r="D56" s="295" t="s">
        <v>126</v>
      </c>
      <c r="E56" s="295"/>
      <c r="F56" s="296"/>
      <c r="G56" s="297" t="s">
        <v>91</v>
      </c>
      <c r="H56" s="297"/>
      <c r="I56" s="297"/>
      <c r="J56" s="297"/>
      <c r="K56" s="297"/>
      <c r="L56" s="298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4" customFormat="1" ht="25" customHeight="1" x14ac:dyDescent="0.2">
      <c r="A57" s="1"/>
      <c r="B57" s="2"/>
      <c r="C57" s="2"/>
      <c r="D57" s="2"/>
      <c r="E57" s="2"/>
      <c r="F57" s="45"/>
      <c r="G57" s="299"/>
      <c r="H57" s="299"/>
      <c r="I57" s="299"/>
      <c r="J57" s="299"/>
      <c r="K57" s="299"/>
      <c r="L57" s="300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4" customFormat="1" ht="25" customHeight="1" thickBot="1" x14ac:dyDescent="0.25">
      <c r="A58" s="74"/>
      <c r="B58" s="70"/>
      <c r="C58" s="70"/>
      <c r="D58" s="70"/>
      <c r="E58" s="75"/>
      <c r="F58" s="51"/>
      <c r="G58" s="2"/>
      <c r="H58" s="4"/>
      <c r="I58" s="4"/>
      <c r="J58" s="4"/>
      <c r="K58" s="4"/>
      <c r="L58" s="76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4" customFormat="1" ht="27.75" customHeight="1" x14ac:dyDescent="0.2">
      <c r="A59" s="77" t="s">
        <v>92</v>
      </c>
      <c r="B59" s="78"/>
      <c r="C59" s="78"/>
      <c r="D59" s="78"/>
      <c r="E59" s="78"/>
      <c r="F59" s="45"/>
      <c r="G59" s="5"/>
      <c r="H59" s="4"/>
      <c r="I59" s="4"/>
      <c r="J59" s="4"/>
      <c r="K59" s="4"/>
      <c r="L59" s="76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4" customFormat="1" ht="39" customHeight="1" x14ac:dyDescent="0.2">
      <c r="A60" s="228" t="s">
        <v>93</v>
      </c>
      <c r="B60" s="287"/>
      <c r="C60" s="287"/>
      <c r="D60" s="287"/>
      <c r="E60" s="287"/>
      <c r="F60" s="288"/>
      <c r="G60" s="5"/>
      <c r="H60" s="4"/>
      <c r="I60" s="4"/>
      <c r="J60" s="4"/>
      <c r="K60" s="4"/>
      <c r="L60" s="76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4" customFormat="1" ht="15" customHeight="1" x14ac:dyDescent="0.2">
      <c r="A61" s="1"/>
      <c r="B61" s="2"/>
      <c r="C61" s="2"/>
      <c r="D61" s="2"/>
      <c r="E61" s="2"/>
      <c r="F61" s="45"/>
      <c r="G61" s="301"/>
      <c r="H61" s="299"/>
      <c r="I61" s="299"/>
      <c r="J61" s="299"/>
      <c r="K61" s="299"/>
      <c r="L61" s="300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4" customFormat="1" ht="24.75" customHeight="1" x14ac:dyDescent="0.2">
      <c r="A62" s="228" t="s">
        <v>94</v>
      </c>
      <c r="B62" s="287"/>
      <c r="C62" s="287"/>
      <c r="D62" s="287"/>
      <c r="E62" s="287"/>
      <c r="F62" s="288"/>
      <c r="G62" s="79"/>
      <c r="H62" s="72"/>
      <c r="I62" s="72"/>
      <c r="J62" s="72"/>
      <c r="K62" s="72"/>
      <c r="L62" s="73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4" customFormat="1" ht="35.25" customHeight="1" thickBot="1" x14ac:dyDescent="0.25">
      <c r="A63" s="289" t="s">
        <v>95</v>
      </c>
      <c r="B63" s="290"/>
      <c r="C63" s="290"/>
      <c r="D63" s="290"/>
      <c r="E63" s="290"/>
      <c r="F63" s="291"/>
      <c r="G63" s="80"/>
      <c r="H63" s="81"/>
      <c r="I63" s="81"/>
      <c r="J63" s="81"/>
      <c r="K63" s="81"/>
      <c r="L63" s="82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4" customFormat="1" ht="24" customHeight="1" x14ac:dyDescent="0.2">
      <c r="A64" s="292" t="s">
        <v>96</v>
      </c>
      <c r="B64" s="293"/>
      <c r="C64" s="293"/>
      <c r="D64" s="293"/>
      <c r="E64" s="293"/>
      <c r="F64" s="293"/>
      <c r="G64" s="293"/>
      <c r="H64" s="293"/>
      <c r="I64" s="293"/>
      <c r="J64" s="293"/>
      <c r="K64" s="293"/>
      <c r="L64" s="29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2:28" ht="15" x14ac:dyDescent="0.2"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8" spans="12:28" x14ac:dyDescent="0.15">
      <c r="L68" s="92"/>
    </row>
  </sheetData>
  <mergeCells count="64">
    <mergeCell ref="A62:F62"/>
    <mergeCell ref="A63:F63"/>
    <mergeCell ref="A64:L64"/>
    <mergeCell ref="D55:F55"/>
    <mergeCell ref="D56:F56"/>
    <mergeCell ref="G56:L56"/>
    <mergeCell ref="G57:L57"/>
    <mergeCell ref="A60:F60"/>
    <mergeCell ref="G61:L61"/>
    <mergeCell ref="D54:F54"/>
    <mergeCell ref="A30:G30"/>
    <mergeCell ref="J30:L30"/>
    <mergeCell ref="B31:E31"/>
    <mergeCell ref="L33:L41"/>
    <mergeCell ref="B42:E42"/>
    <mergeCell ref="A43:F43"/>
    <mergeCell ref="A45:F46"/>
    <mergeCell ref="A49:F49"/>
    <mergeCell ref="A50:F50"/>
    <mergeCell ref="A51:F51"/>
    <mergeCell ref="D53:F53"/>
    <mergeCell ref="D24:G24"/>
    <mergeCell ref="J24:L24"/>
    <mergeCell ref="D25:G25"/>
    <mergeCell ref="J25:L25"/>
    <mergeCell ref="D26:G26"/>
    <mergeCell ref="J26:L29"/>
    <mergeCell ref="D27:G27"/>
    <mergeCell ref="D28:G28"/>
    <mergeCell ref="F29:G29"/>
    <mergeCell ref="A17:G17"/>
    <mergeCell ref="D18:G18"/>
    <mergeCell ref="H18:I18"/>
    <mergeCell ref="J18:L18"/>
    <mergeCell ref="D19:G22"/>
    <mergeCell ref="H19:I19"/>
    <mergeCell ref="J19:L22"/>
    <mergeCell ref="H22:I22"/>
    <mergeCell ref="D15:G15"/>
    <mergeCell ref="H15:I15"/>
    <mergeCell ref="J15:L15"/>
    <mergeCell ref="D16:G16"/>
    <mergeCell ref="H16:I16"/>
    <mergeCell ref="J16:L16"/>
    <mergeCell ref="D12:G12"/>
    <mergeCell ref="J12:L12"/>
    <mergeCell ref="D13:G13"/>
    <mergeCell ref="J13:L13"/>
    <mergeCell ref="D14:G14"/>
    <mergeCell ref="H14:I14"/>
    <mergeCell ref="J14:L14"/>
    <mergeCell ref="D11:G11"/>
    <mergeCell ref="J11:L11"/>
    <mergeCell ref="A1:L2"/>
    <mergeCell ref="A3:L3"/>
    <mergeCell ref="A4:L4"/>
    <mergeCell ref="A5:L5"/>
    <mergeCell ref="A6:L6"/>
    <mergeCell ref="A7:L7"/>
    <mergeCell ref="A8:L8"/>
    <mergeCell ref="A9:J9"/>
    <mergeCell ref="K9:L9"/>
    <mergeCell ref="D10:G10"/>
    <mergeCell ref="J10:L10"/>
  </mergeCells>
  <dataValidations count="1">
    <dataValidation type="list" showInputMessage="1" showErrorMessage="1" sqref="K9:L9" xr:uid="{7281AC75-D774-4E42-A91F-E8DFE982BC8D}">
      <formula1>"Original,Duplicate,Triplicate,Extra Copy"</formula1>
    </dataValidation>
  </dataValidations>
  <pageMargins left="0.7" right="0.7" top="0.75" bottom="0.75" header="0.3" footer="0.3"/>
  <pageSetup scale="2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Orders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TSK954</dc:creator>
  <cp:lastModifiedBy>Saiprashannaa</cp:lastModifiedBy>
  <cp:lastPrinted>2024-12-15T15:11:29Z</cp:lastPrinted>
  <dcterms:created xsi:type="dcterms:W3CDTF">2024-07-15T05:36:57Z</dcterms:created>
  <dcterms:modified xsi:type="dcterms:W3CDTF">2024-12-15T15:30:18Z</dcterms:modified>
</cp:coreProperties>
</file>